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60" windowWidth="18915" windowHeight="11565" activeTab="1"/>
  </bookViews>
  <sheets>
    <sheet name="Principal" sheetId="3" r:id="rId1"/>
    <sheet name="P1" sheetId="1" r:id="rId2"/>
    <sheet name="Tareas-notas" sheetId="6" r:id="rId3"/>
    <sheet name="Asistencia" sheetId="2" r:id="rId4"/>
    <sheet name="Proyectos" sheetId="8" r:id="rId5"/>
  </sheets>
  <calcPr calcId="144525"/>
</workbook>
</file>

<file path=xl/calcChain.xml><?xml version="1.0" encoding="utf-8"?>
<calcChain xmlns="http://schemas.openxmlformats.org/spreadsheetml/2006/main">
  <c r="B4" i="3" l="1"/>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3" i="3"/>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3" i="1"/>
  <c r="M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3" i="1"/>
  <c r="B4"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3" i="1"/>
  <c r="G4" i="8"/>
  <c r="G5" i="8"/>
  <c r="G6" i="8"/>
  <c r="G7" i="8"/>
  <c r="G8" i="8"/>
  <c r="G9" i="8"/>
  <c r="G3" i="8"/>
  <c r="B40" i="1"/>
  <c r="D40" i="1"/>
  <c r="M40" i="1"/>
  <c r="S40" i="1" l="1"/>
  <c r="AB39" i="6"/>
  <c r="AB38" i="6"/>
  <c r="AB37" i="6"/>
  <c r="AB36" i="6"/>
  <c r="AB35" i="6"/>
  <c r="AB34" i="6"/>
  <c r="AB33" i="6"/>
  <c r="AB32" i="6"/>
  <c r="AB31" i="6"/>
  <c r="AB30" i="6"/>
  <c r="AB29" i="6"/>
  <c r="AB28" i="6"/>
  <c r="AB27" i="6"/>
  <c r="AB26" i="6"/>
  <c r="AB25" i="6"/>
  <c r="AB24" i="6"/>
  <c r="AB23" i="6"/>
  <c r="AB22" i="6"/>
  <c r="AB21" i="6"/>
  <c r="AB20" i="6"/>
  <c r="AB19" i="6"/>
  <c r="AB18" i="6"/>
  <c r="AB17" i="6"/>
  <c r="AB16" i="6"/>
  <c r="AB15" i="6"/>
  <c r="AB14" i="6"/>
  <c r="AB13" i="6"/>
  <c r="AB12" i="6"/>
  <c r="AB11" i="6"/>
  <c r="AB10" i="6"/>
  <c r="AB9" i="6"/>
  <c r="AB8" i="6"/>
  <c r="AB7" i="6"/>
  <c r="AB6" i="6"/>
  <c r="AB5" i="6"/>
  <c r="AB4" i="6"/>
  <c r="AB3"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3" i="6"/>
  <c r="N37" i="6"/>
  <c r="N38" i="6"/>
  <c r="N39" i="6"/>
  <c r="G37" i="6"/>
  <c r="G38" i="6"/>
  <c r="G39" i="6"/>
  <c r="G40" i="3" l="1"/>
  <c r="M37" i="1"/>
  <c r="M38" i="1"/>
  <c r="M39" i="1"/>
  <c r="D37" i="1"/>
  <c r="D38" i="1"/>
  <c r="D39" i="1"/>
  <c r="B37" i="1"/>
  <c r="B38" i="1"/>
  <c r="B39" i="1"/>
  <c r="S38" i="1" l="1"/>
  <c r="S37" i="1"/>
  <c r="S39" i="1"/>
  <c r="M15" i="1"/>
  <c r="B15" i="1"/>
  <c r="B16" i="1"/>
  <c r="B17" i="1"/>
  <c r="B18" i="1"/>
  <c r="B19" i="1"/>
  <c r="B20" i="1"/>
  <c r="B21" i="1"/>
  <c r="B22" i="1"/>
  <c r="B23" i="1"/>
  <c r="B24" i="1"/>
  <c r="B25" i="1"/>
  <c r="B26" i="1"/>
  <c r="B27" i="1"/>
  <c r="B28" i="1"/>
  <c r="B30" i="1"/>
  <c r="B31" i="1"/>
  <c r="D4" i="1"/>
  <c r="D5" i="1"/>
  <c r="D8" i="1"/>
  <c r="D10" i="1"/>
  <c r="D11" i="1"/>
  <c r="D12" i="1"/>
  <c r="D13" i="1"/>
  <c r="D17" i="1"/>
  <c r="D20" i="1"/>
  <c r="D22" i="1"/>
  <c r="D23" i="1"/>
  <c r="D24" i="1"/>
  <c r="D25" i="1"/>
  <c r="D26" i="1"/>
  <c r="D27" i="1"/>
  <c r="D31" i="1"/>
  <c r="D33" i="1"/>
  <c r="D35" i="1"/>
  <c r="N4" i="6"/>
  <c r="N5" i="6"/>
  <c r="N6" i="6"/>
  <c r="D6" i="1" s="1"/>
  <c r="N7" i="6"/>
  <c r="D7" i="1" s="1"/>
  <c r="N8" i="6"/>
  <c r="N9" i="6"/>
  <c r="D9" i="1" s="1"/>
  <c r="N10" i="6"/>
  <c r="N11" i="6"/>
  <c r="N12" i="6"/>
  <c r="N13" i="6"/>
  <c r="N14" i="6"/>
  <c r="D14" i="1" s="1"/>
  <c r="N15" i="6"/>
  <c r="D15" i="1" s="1"/>
  <c r="N16" i="6"/>
  <c r="D16" i="1" s="1"/>
  <c r="N17" i="6"/>
  <c r="N18" i="6"/>
  <c r="D18" i="1" s="1"/>
  <c r="N19" i="6"/>
  <c r="D19" i="1" s="1"/>
  <c r="N20" i="6"/>
  <c r="N21" i="6"/>
  <c r="D21" i="1" s="1"/>
  <c r="N22" i="6"/>
  <c r="N23" i="6"/>
  <c r="N24" i="6"/>
  <c r="N25" i="6"/>
  <c r="N26" i="6"/>
  <c r="N27" i="6"/>
  <c r="N28" i="6"/>
  <c r="D28" i="1" s="1"/>
  <c r="N29" i="6"/>
  <c r="D29" i="1" s="1"/>
  <c r="N30" i="6"/>
  <c r="D30" i="1" s="1"/>
  <c r="N31" i="6"/>
  <c r="N32" i="6"/>
  <c r="D32" i="1" s="1"/>
  <c r="N33" i="6"/>
  <c r="N34" i="6"/>
  <c r="D34" i="1" s="1"/>
  <c r="N35" i="6"/>
  <c r="N36" i="6"/>
  <c r="D36" i="1" s="1"/>
  <c r="N3" i="6"/>
  <c r="D3" i="1" s="1"/>
  <c r="G38" i="3" l="1"/>
  <c r="G37" i="3"/>
  <c r="G36" i="6"/>
  <c r="M36" i="1"/>
  <c r="B36" i="1" l="1"/>
  <c r="S36" i="1" s="1"/>
  <c r="G11" i="6"/>
  <c r="B10" i="1"/>
  <c r="B11" i="1"/>
  <c r="G4" i="6"/>
  <c r="G5" i="6"/>
  <c r="B5" i="1" s="1"/>
  <c r="G6" i="6"/>
  <c r="B6" i="1" s="1"/>
  <c r="G7" i="6"/>
  <c r="B7" i="1" s="1"/>
  <c r="G8" i="6"/>
  <c r="B8" i="1" s="1"/>
  <c r="G9" i="6"/>
  <c r="B9" i="1" s="1"/>
  <c r="G10" i="6"/>
  <c r="G12" i="6"/>
  <c r="B12" i="1" s="1"/>
  <c r="G13" i="6"/>
  <c r="B13" i="1" s="1"/>
  <c r="G14" i="6"/>
  <c r="B14" i="1" s="1"/>
  <c r="G15" i="6"/>
  <c r="G16" i="6"/>
  <c r="G17" i="6"/>
  <c r="G18" i="6"/>
  <c r="G19" i="6"/>
  <c r="G20" i="6"/>
  <c r="G21" i="6"/>
  <c r="G22" i="6"/>
  <c r="G23" i="6"/>
  <c r="G24" i="6"/>
  <c r="G25" i="6"/>
  <c r="G26" i="6"/>
  <c r="G27" i="6"/>
  <c r="G28" i="6"/>
  <c r="G29" i="6"/>
  <c r="B29" i="1" s="1"/>
  <c r="G30" i="6"/>
  <c r="G31" i="6"/>
  <c r="G32" i="6"/>
  <c r="G33" i="6"/>
  <c r="G34" i="6"/>
  <c r="G35" i="6"/>
  <c r="G3" i="6"/>
  <c r="B3" i="1" s="1"/>
  <c r="M32" i="1"/>
  <c r="M33" i="1"/>
  <c r="M34" i="1"/>
  <c r="M35" i="1"/>
  <c r="G36" i="3" l="1"/>
  <c r="B35" i="1"/>
  <c r="S35" i="1" s="1"/>
  <c r="B34" i="1"/>
  <c r="S34" i="1" s="1"/>
  <c r="B33" i="1"/>
  <c r="S33" i="1" s="1"/>
  <c r="B32" i="1"/>
  <c r="S32" i="1" s="1"/>
  <c r="M31" i="1"/>
  <c r="M10" i="1"/>
  <c r="M4" i="1"/>
  <c r="M5" i="1"/>
  <c r="M6" i="1"/>
  <c r="M7" i="1"/>
  <c r="M8" i="1"/>
  <c r="M9" i="1"/>
  <c r="M11" i="1"/>
  <c r="M12" i="1"/>
  <c r="M13" i="1"/>
  <c r="M14" i="1"/>
  <c r="M16" i="1"/>
  <c r="M17" i="1"/>
  <c r="M18" i="1"/>
  <c r="M19" i="1"/>
  <c r="M20" i="1"/>
  <c r="M21" i="1"/>
  <c r="M22" i="1"/>
  <c r="M23" i="1"/>
  <c r="M24" i="1"/>
  <c r="M25" i="1"/>
  <c r="M26" i="1"/>
  <c r="M27" i="1"/>
  <c r="M28" i="1"/>
  <c r="M29" i="1"/>
  <c r="M30" i="1"/>
  <c r="G34" i="3" l="1"/>
  <c r="G35" i="3"/>
  <c r="G32" i="3"/>
  <c r="G33" i="3"/>
  <c r="S20" i="1"/>
  <c r="S12" i="1"/>
  <c r="S19" i="1"/>
  <c r="S21" i="1"/>
  <c r="S31" i="1"/>
  <c r="S30" i="1"/>
  <c r="S29" i="1"/>
  <c r="S28" i="1"/>
  <c r="S27" i="1"/>
  <c r="S26" i="1"/>
  <c r="S25" i="1"/>
  <c r="S24" i="1"/>
  <c r="S23" i="1"/>
  <c r="S22" i="1"/>
  <c r="S18" i="1"/>
  <c r="S17" i="1"/>
  <c r="S16" i="1"/>
  <c r="S15" i="1"/>
  <c r="S14" i="1"/>
  <c r="S13" i="1"/>
  <c r="S11" i="1"/>
  <c r="S8" i="1"/>
  <c r="S4" i="1"/>
  <c r="S10" i="1"/>
  <c r="S6" i="1"/>
  <c r="S9" i="1"/>
  <c r="S5" i="1"/>
  <c r="S3" i="1"/>
  <c r="S7" i="1"/>
  <c r="G10" i="3" l="1"/>
  <c r="G24" i="3"/>
  <c r="G4" i="3"/>
  <c r="G14" i="3"/>
  <c r="G18" i="3"/>
  <c r="G25" i="3"/>
  <c r="G29" i="3"/>
  <c r="G19" i="3"/>
  <c r="G13" i="3"/>
  <c r="G21" i="3"/>
  <c r="G5" i="3"/>
  <c r="G8" i="3"/>
  <c r="G15" i="3"/>
  <c r="G22" i="3"/>
  <c r="G26" i="3"/>
  <c r="G30" i="3"/>
  <c r="G12" i="3"/>
  <c r="G17" i="3"/>
  <c r="G28" i="3"/>
  <c r="G9" i="3"/>
  <c r="G7" i="3"/>
  <c r="G11" i="3"/>
  <c r="G16" i="3"/>
  <c r="G23" i="3"/>
  <c r="G27" i="3"/>
  <c r="G31" i="3"/>
  <c r="G20" i="3"/>
  <c r="G6" i="3" l="1"/>
  <c r="G39" i="3"/>
  <c r="G3" i="3"/>
</calcChain>
</file>

<file path=xl/comments1.xml><?xml version="1.0" encoding="utf-8"?>
<comments xmlns="http://schemas.openxmlformats.org/spreadsheetml/2006/main">
  <authors>
    <author>adminIS</author>
  </authors>
  <commentList>
    <comment ref="B2" authorId="0">
      <text>
        <r>
          <rPr>
            <b/>
            <sz val="9"/>
            <color indexed="81"/>
            <rFont val="Tahoma"/>
            <family val="2"/>
          </rPr>
          <t xml:space="preserve">* Calificación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List>
</comments>
</file>

<file path=xl/comments2.xml><?xml version="1.0" encoding="utf-8"?>
<comments xmlns="http://schemas.openxmlformats.org/spreadsheetml/2006/main">
  <authors>
    <author>adminIS</author>
  </authors>
  <commentList>
    <comment ref="B2" authorId="0">
      <text>
        <r>
          <rPr>
            <b/>
            <sz val="9"/>
            <color indexed="81"/>
            <rFont val="Tahoma"/>
            <family val="2"/>
          </rPr>
          <t>Ensayo de tensión</t>
        </r>
      </text>
    </comment>
    <comment ref="C2" authorId="0">
      <text>
        <r>
          <rPr>
            <b/>
            <sz val="9"/>
            <color indexed="81"/>
            <rFont val="Tahoma"/>
            <family val="2"/>
          </rPr>
          <t xml:space="preserve">Ejercicio </t>
        </r>
      </text>
    </comment>
    <comment ref="D2" authorId="0">
      <text>
        <r>
          <rPr>
            <b/>
            <sz val="9"/>
            <color indexed="81"/>
            <rFont val="Tahoma"/>
            <family val="2"/>
          </rPr>
          <t>Ley de Hooke multiaxial y relación de Poisson</t>
        </r>
      </text>
    </comment>
    <comment ref="E2" authorId="0">
      <text>
        <r>
          <rPr>
            <b/>
            <sz val="9"/>
            <color indexed="81"/>
            <rFont val="Tahoma"/>
            <family val="2"/>
          </rPr>
          <t>Esfuerzos térmicos</t>
        </r>
      </text>
    </comment>
    <comment ref="F2" authorId="0">
      <text>
        <r>
          <rPr>
            <b/>
            <sz val="9"/>
            <color indexed="81"/>
            <rFont val="Tahoma"/>
            <family val="2"/>
          </rPr>
          <t>4 ejercicios</t>
        </r>
      </text>
    </comment>
    <comment ref="G2" authorId="0">
      <text>
        <r>
          <rPr>
            <b/>
            <sz val="9"/>
            <color indexed="81"/>
            <rFont val="Tahoma"/>
            <family val="2"/>
          </rPr>
          <t>Problemario</t>
        </r>
      </text>
    </comment>
    <comment ref="F3" authorId="0">
      <text>
        <r>
          <rPr>
            <b/>
            <sz val="9"/>
            <color indexed="81"/>
            <rFont val="Tahoma"/>
            <family val="2"/>
          </rPr>
          <t>NR</t>
        </r>
      </text>
    </comment>
    <comment ref="J5" authorId="0">
      <text>
        <r>
          <rPr>
            <b/>
            <sz val="9"/>
            <color indexed="81"/>
            <rFont val="Tahoma"/>
            <family val="2"/>
          </rPr>
          <t>Pendiente de revisión, procedimiento.</t>
        </r>
      </text>
    </comment>
    <comment ref="F14" authorId="0">
      <text>
        <r>
          <rPr>
            <b/>
            <sz val="9"/>
            <color indexed="81"/>
            <rFont val="Tahoma"/>
            <family val="2"/>
          </rPr>
          <t>NR</t>
        </r>
      </text>
    </comment>
    <comment ref="F15" authorId="0">
      <text>
        <r>
          <rPr>
            <b/>
            <sz val="9"/>
            <color indexed="81"/>
            <rFont val="Tahoma"/>
            <family val="2"/>
          </rPr>
          <t>NR</t>
        </r>
      </text>
    </comment>
    <comment ref="F20" authorId="0">
      <text>
        <r>
          <rPr>
            <b/>
            <sz val="9"/>
            <color indexed="81"/>
            <rFont val="Tahoma"/>
            <family val="2"/>
          </rPr>
          <t>NR</t>
        </r>
      </text>
    </comment>
    <comment ref="O35" authorId="0">
      <text>
        <r>
          <rPr>
            <b/>
            <sz val="9"/>
            <color indexed="81"/>
            <rFont val="Tahoma"/>
            <family val="2"/>
          </rPr>
          <t>No examen</t>
        </r>
      </text>
    </comment>
  </commentList>
</comments>
</file>

<file path=xl/comments3.xml><?xml version="1.0" encoding="utf-8"?>
<comments xmlns="http://schemas.openxmlformats.org/spreadsheetml/2006/main">
  <authors>
    <author>adminIS</author>
  </authors>
  <commentList>
    <comment ref="B1" authorId="0">
      <text>
        <r>
          <rPr>
            <b/>
            <sz val="9"/>
            <color indexed="81"/>
            <rFont val="Tahoma"/>
            <family val="2"/>
          </rPr>
          <t>Ensayo de tensión</t>
        </r>
      </text>
    </comment>
    <comment ref="I1" authorId="0">
      <text>
        <r>
          <rPr>
            <b/>
            <sz val="9"/>
            <color indexed="81"/>
            <rFont val="Tahoma"/>
            <family val="2"/>
          </rPr>
          <t>Ley de Hooke multiaxial y relación de Poisson</t>
        </r>
      </text>
    </comment>
    <comment ref="P1" authorId="0">
      <text>
        <r>
          <rPr>
            <b/>
            <sz val="9"/>
            <color indexed="81"/>
            <rFont val="Tahoma"/>
            <family val="2"/>
          </rPr>
          <t>Esfuerzos térmicos</t>
        </r>
      </text>
    </comment>
    <comment ref="W1" authorId="0">
      <text>
        <r>
          <rPr>
            <b/>
            <sz val="9"/>
            <color indexed="81"/>
            <rFont val="Tahoma"/>
            <family val="2"/>
          </rPr>
          <t xml:space="preserve">Reporte de la Unidad Temática II
</t>
        </r>
      </text>
    </comment>
    <comment ref="N7" authorId="0">
      <text>
        <r>
          <rPr>
            <b/>
            <sz val="9"/>
            <color indexed="81"/>
            <rFont val="Tahoma"/>
            <family val="2"/>
          </rPr>
          <t xml:space="preserve">El contenido no corresponde con lo que se pidió. </t>
        </r>
      </text>
    </comment>
    <comment ref="G14" authorId="0">
      <text>
        <r>
          <rPr>
            <b/>
            <sz val="9"/>
            <color indexed="81"/>
            <rFont val="Tahoma"/>
            <family val="2"/>
          </rPr>
          <t>Tarea no recibida</t>
        </r>
      </text>
    </comment>
    <comment ref="N14" authorId="0">
      <text>
        <r>
          <rPr>
            <b/>
            <sz val="9"/>
            <color indexed="81"/>
            <rFont val="Tahoma"/>
            <family val="2"/>
          </rPr>
          <t xml:space="preserve">Tarea no recibida
</t>
        </r>
      </text>
    </comment>
  </commentList>
</comments>
</file>

<file path=xl/comments4.xml><?xml version="1.0" encoding="utf-8"?>
<comments xmlns="http://schemas.openxmlformats.org/spreadsheetml/2006/main">
  <authors>
    <author>adminIS</author>
  </authors>
  <commentList>
    <comment ref="B2" authorId="0">
      <text>
        <r>
          <rPr>
            <b/>
            <sz val="9"/>
            <color indexed="81"/>
            <rFont val="Tahoma"/>
            <family val="2"/>
          </rPr>
          <t>Material escrito: reporte y diapositivas</t>
        </r>
      </text>
    </comment>
    <comment ref="C2" authorId="0">
      <text>
        <r>
          <rPr>
            <b/>
            <sz val="9"/>
            <color indexed="81"/>
            <rFont val="Tahoma"/>
            <family val="2"/>
          </rPr>
          <t>Presentación</t>
        </r>
      </text>
    </comment>
    <comment ref="D2" authorId="0">
      <text>
        <r>
          <rPr>
            <b/>
            <sz val="9"/>
            <color indexed="81"/>
            <rFont val="Tahoma"/>
            <family val="2"/>
          </rPr>
          <t>Diseño de la UI</t>
        </r>
      </text>
    </comment>
    <comment ref="E2" authorId="0">
      <text>
        <r>
          <rPr>
            <b/>
            <sz val="9"/>
            <color indexed="81"/>
            <rFont val="Tahoma"/>
            <family val="2"/>
          </rPr>
          <t>Usabilidad del programa</t>
        </r>
      </text>
    </comment>
    <comment ref="F2" authorId="0">
      <text>
        <r>
          <rPr>
            <b/>
            <sz val="9"/>
            <color indexed="81"/>
            <rFont val="Tahoma"/>
            <family val="2"/>
          </rPr>
          <t>¿Cumple con los requerimientos?</t>
        </r>
      </text>
    </comment>
    <comment ref="G4" authorId="0">
      <text>
        <r>
          <rPr>
            <b/>
            <sz val="9"/>
            <color indexed="81"/>
            <rFont val="Tahoma"/>
            <family val="2"/>
          </rPr>
          <t>Sin entregables recibidos.</t>
        </r>
      </text>
    </comment>
    <comment ref="G5" authorId="0">
      <text>
        <r>
          <rPr>
            <b/>
            <sz val="9"/>
            <color indexed="81"/>
            <rFont val="Tahoma"/>
            <family val="2"/>
          </rPr>
          <t>Sin entregables recibidos</t>
        </r>
      </text>
    </comment>
    <comment ref="G6" authorId="0">
      <text>
        <r>
          <rPr>
            <b/>
            <sz val="9"/>
            <color indexed="81"/>
            <rFont val="Tahoma"/>
            <family val="2"/>
          </rPr>
          <t>Sin entregables recibidos, únicamente diapositivas.</t>
        </r>
      </text>
    </comment>
    <comment ref="G7" authorId="0">
      <text>
        <r>
          <rPr>
            <b/>
            <sz val="9"/>
            <color indexed="81"/>
            <rFont val="Tahoma"/>
            <family val="2"/>
          </rPr>
          <t>Sin entregables recibidos</t>
        </r>
      </text>
    </comment>
    <comment ref="A8" authorId="0">
      <text>
        <r>
          <rPr>
            <b/>
            <sz val="9"/>
            <color indexed="81"/>
            <rFont val="Tahoma"/>
            <family val="2"/>
          </rPr>
          <t>adminIS:</t>
        </r>
        <r>
          <rPr>
            <sz val="9"/>
            <color indexed="81"/>
            <rFont val="Tahoma"/>
            <family val="2"/>
          </rPr>
          <t xml:space="preserve">
</t>
        </r>
      </text>
    </comment>
    <comment ref="G8" authorId="0">
      <text>
        <r>
          <rPr>
            <b/>
            <sz val="9"/>
            <color indexed="81"/>
            <rFont val="Tahoma"/>
            <family val="2"/>
          </rPr>
          <t>Sin entregables recibidos</t>
        </r>
      </text>
    </comment>
    <comment ref="A9" authorId="0">
      <text>
        <r>
          <rPr>
            <b/>
            <sz val="9"/>
            <color indexed="81"/>
            <rFont val="Tahoma"/>
            <family val="2"/>
          </rPr>
          <t>Olivares Miranda</t>
        </r>
      </text>
    </comment>
  </commentList>
</comments>
</file>

<file path=xl/sharedStrings.xml><?xml version="1.0" encoding="utf-8"?>
<sst xmlns="http://schemas.openxmlformats.org/spreadsheetml/2006/main" count="221" uniqueCount="86">
  <si>
    <t>Montecillo San Elías Hector Manuel</t>
  </si>
  <si>
    <t>Pedraza Hernández José Ramón</t>
  </si>
  <si>
    <t>Espinosa Flores Erasmo</t>
  </si>
  <si>
    <t>Pérez Gómez Cruz Humberto</t>
  </si>
  <si>
    <t>Yerena Vera Carlos Alberto</t>
  </si>
  <si>
    <t>Patiño Uribe Fernando</t>
  </si>
  <si>
    <t>García Hernández Victor Daniel</t>
  </si>
  <si>
    <t>Calderon Rangel Hugo Alberto</t>
  </si>
  <si>
    <t>T1</t>
  </si>
  <si>
    <t>Castelán Alva Raúl Alonso</t>
  </si>
  <si>
    <t>Olivares Miranda Diego</t>
  </si>
  <si>
    <t>Gómez Torres David Antonio</t>
  </si>
  <si>
    <t>Valerios Berber Hugo Isaac</t>
  </si>
  <si>
    <t>Patiño Durán Luis Jesús</t>
  </si>
  <si>
    <t>Barragán García Samuel</t>
  </si>
  <si>
    <t>Herrera Álvarez Brian Martin</t>
  </si>
  <si>
    <t>Rico Sánchez Maria Guadalupe</t>
  </si>
  <si>
    <t>Gonzalez Rivera Luis Enrique</t>
  </si>
  <si>
    <t>Pinedo García Gerardo</t>
  </si>
  <si>
    <t>Rangel Pichardo Stefanny Lizet</t>
  </si>
  <si>
    <t>Pérez Montañez María Fernanda</t>
  </si>
  <si>
    <t>Santoyo Cruz Vanessa</t>
  </si>
  <si>
    <t>Hernández Muñoz Brenda</t>
  </si>
  <si>
    <t>Ruelas Amezquita José Rubén</t>
  </si>
  <si>
    <t>Rodríguez Barra Axel Alejandro</t>
  </si>
  <si>
    <t>Roble Morales Angel Derian</t>
  </si>
  <si>
    <t>Arteaga Herrera Aranza</t>
  </si>
  <si>
    <t>T2</t>
  </si>
  <si>
    <t>T3</t>
  </si>
  <si>
    <t>T4</t>
  </si>
  <si>
    <t>T5</t>
  </si>
  <si>
    <t>ALUMNO</t>
  </si>
  <si>
    <t>García Paramo Antonio</t>
  </si>
  <si>
    <t>23-01</t>
  </si>
  <si>
    <t>25-01</t>
  </si>
  <si>
    <t>27-01</t>
  </si>
  <si>
    <t>TAREAS</t>
  </si>
  <si>
    <t>Q1</t>
  </si>
  <si>
    <t>Q2</t>
  </si>
  <si>
    <t>Q3</t>
  </si>
  <si>
    <t>QUIZ</t>
  </si>
  <si>
    <t>EXAMEN</t>
  </si>
  <si>
    <t>ASISTENCIA</t>
  </si>
  <si>
    <t>NOTA PARCIAL</t>
  </si>
  <si>
    <t>TT</t>
  </si>
  <si>
    <t>TQ</t>
  </si>
  <si>
    <t>P1*</t>
  </si>
  <si>
    <t>CALIFICACIÓN FINAL*</t>
  </si>
  <si>
    <t>Nieto Hernández Emilio</t>
  </si>
  <si>
    <t>Gutiérrez Solorio Raymundo</t>
  </si>
  <si>
    <t>Vázquez Villafuerte Luis Gerardo</t>
  </si>
  <si>
    <t>Rodríguez Chavez Daniel</t>
  </si>
  <si>
    <t>Mendoza Arreguín Gustavo</t>
  </si>
  <si>
    <t>TAREA 1</t>
  </si>
  <si>
    <t>P</t>
  </si>
  <si>
    <t>E</t>
  </si>
  <si>
    <t>C</t>
  </si>
  <si>
    <t>RO</t>
  </si>
  <si>
    <t>R</t>
  </si>
  <si>
    <t>Robles Morales Angel Derian</t>
  </si>
  <si>
    <t>Carmona Garcia Zeltzin Suzett Fela</t>
  </si>
  <si>
    <t>∑</t>
  </si>
  <si>
    <t>Andy Méndez Nuñez</t>
  </si>
  <si>
    <t>TAREA 3</t>
  </si>
  <si>
    <t>Instituto Tecnológico de Celaya
Ingeniería Mecatrónica
Mecánica de Materiales (Enero-Junio 2017)</t>
  </si>
  <si>
    <t>PX*</t>
  </si>
  <si>
    <t>30-01</t>
  </si>
  <si>
    <t>01-02</t>
  </si>
  <si>
    <t>03-02</t>
  </si>
  <si>
    <t>Maldonado Rivera Patricio</t>
  </si>
  <si>
    <t>Pérez Gámez Cruz Humberto</t>
  </si>
  <si>
    <t>Rodríguez Berra Axel Alejandro</t>
  </si>
  <si>
    <t>Thome Benitez Francisco</t>
  </si>
  <si>
    <t>Servín Ambríz Eliseo</t>
  </si>
  <si>
    <t>TAREA 4</t>
  </si>
  <si>
    <t>REPORTE UII</t>
  </si>
  <si>
    <t>Ruelas Amézquita José Rubén</t>
  </si>
  <si>
    <t>Gómez Rodríguez Frederick</t>
  </si>
  <si>
    <t>Equipo</t>
  </si>
  <si>
    <t>Nota</t>
  </si>
  <si>
    <t>Proyecto 1</t>
  </si>
  <si>
    <t>U</t>
  </si>
  <si>
    <t>DI</t>
  </si>
  <si>
    <t>CR</t>
  </si>
  <si>
    <t>RP</t>
  </si>
  <si>
    <t>T6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</si>
</sst>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1" x14ac:knownFonts="1">
    <font>
      <sz val="11"/>
      <color theme="1"/>
      <name val="Calibri"/>
      <family val="2"/>
      <scheme val="minor"/>
    </font>
    <font>
      <b/>
      <sz val="11"/>
      <color theme="1"/>
      <name val="Calibri"/>
      <family val="2"/>
      <scheme val="minor"/>
    </font>
    <font>
      <sz val="11"/>
      <name val="Calibri"/>
      <family val="2"/>
      <scheme val="minor"/>
    </font>
    <font>
      <b/>
      <sz val="8"/>
      <color theme="1"/>
      <name val="Calibri"/>
      <family val="2"/>
      <scheme val="minor"/>
    </font>
    <font>
      <sz val="9"/>
      <color theme="1"/>
      <name val="Calibri"/>
      <family val="2"/>
      <scheme val="minor"/>
    </font>
    <font>
      <sz val="8"/>
      <color theme="1"/>
      <name val="Calibri"/>
      <family val="2"/>
      <scheme val="minor"/>
    </font>
    <font>
      <b/>
      <sz val="9"/>
      <color indexed="81"/>
      <name val="Tahoma"/>
      <family val="2"/>
    </font>
    <font>
      <sz val="11"/>
      <color rgb="FFFF0000"/>
      <name val="Calibri"/>
      <family val="2"/>
      <scheme val="minor"/>
    </font>
    <font>
      <sz val="11"/>
      <color rgb="FF000000"/>
      <name val="Calibri"/>
      <family val="2"/>
    </font>
    <font>
      <sz val="8"/>
      <color rgb="FF000000"/>
      <name val="Tahoma"/>
      <family val="2"/>
    </font>
    <font>
      <sz val="9"/>
      <color indexed="81"/>
      <name val="Tahoma"/>
      <family val="2"/>
    </font>
    <font>
      <sz val="8"/>
      <name val="Calibri"/>
      <family val="2"/>
      <scheme val="minor"/>
    </font>
    <font>
      <b/>
      <sz val="10"/>
      <name val="Calibri"/>
      <family val="2"/>
      <scheme val="minor"/>
    </font>
    <font>
      <sz val="10"/>
      <color theme="1"/>
      <name val="Calibri"/>
      <family val="2"/>
      <scheme val="minor"/>
    </font>
    <font>
      <b/>
      <sz val="10"/>
      <color theme="1"/>
      <name val="Calibri"/>
      <family val="2"/>
      <scheme val="minor"/>
    </font>
    <font>
      <b/>
      <sz val="10"/>
      <color theme="0"/>
      <name val="Arial Narrow"/>
      <family val="2"/>
    </font>
    <font>
      <b/>
      <sz val="10"/>
      <color theme="0"/>
      <name val="Calibri"/>
      <family val="2"/>
      <scheme val="minor"/>
    </font>
    <font>
      <sz val="10"/>
      <color theme="1"/>
      <name val="Calibri"/>
      <family val="2"/>
    </font>
    <font>
      <sz val="9"/>
      <name val="Calibri"/>
      <family val="2"/>
      <scheme val="minor"/>
    </font>
    <font>
      <sz val="9"/>
      <color rgb="FF0000FF"/>
      <name val="Calibri"/>
      <family val="2"/>
      <scheme val="minor"/>
    </font>
    <font>
      <sz val="9"/>
      <color rgb="FFFF0000"/>
      <name val="Calibri"/>
      <family val="2"/>
      <scheme val="minor"/>
    </font>
  </fonts>
  <fills count="12">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68">
    <xf numFmtId="0" fontId="0" fillId="0" borderId="0" xfId="0"/>
    <xf numFmtId="49" fontId="3" fillId="0" borderId="0" xfId="0" applyNumberFormat="1" applyFont="1" applyAlignment="1">
      <alignment vertical="center"/>
    </xf>
    <xf numFmtId="0" fontId="3" fillId="0" borderId="0" xfId="0" applyFont="1" applyAlignment="1">
      <alignment vertical="center"/>
    </xf>
    <xf numFmtId="0" fontId="2" fillId="8" borderId="0" xfId="0" applyFont="1" applyFill="1"/>
    <xf numFmtId="0" fontId="5" fillId="6" borderId="0" xfId="0" applyFont="1" applyFill="1" applyAlignment="1">
      <alignment horizontal="center"/>
    </xf>
    <xf numFmtId="0" fontId="5" fillId="6" borderId="0" xfId="0" quotePrefix="1" applyFont="1" applyFill="1" applyAlignment="1">
      <alignment horizontal="center"/>
    </xf>
    <xf numFmtId="0" fontId="5" fillId="6" borderId="0" xfId="0" applyFont="1" applyFill="1" applyAlignment="1">
      <alignment horizontal="center" vertical="center"/>
    </xf>
    <xf numFmtId="0" fontId="0" fillId="9" borderId="0" xfId="0" applyFill="1"/>
    <xf numFmtId="0" fontId="1" fillId="9" borderId="0" xfId="0" applyFont="1" applyFill="1" applyAlignment="1">
      <alignment horizontal="center"/>
    </xf>
    <xf numFmtId="49" fontId="3" fillId="9" borderId="0" xfId="0" applyNumberFormat="1" applyFont="1" applyFill="1" applyAlignment="1">
      <alignment horizontal="center" vertical="center"/>
    </xf>
    <xf numFmtId="0" fontId="0" fillId="0" borderId="0" xfId="0" applyFill="1"/>
    <xf numFmtId="0" fontId="2" fillId="0" borderId="0" xfId="0" applyFont="1" applyFill="1"/>
    <xf numFmtId="0" fontId="7" fillId="8" borderId="0" xfId="0" applyFont="1" applyFill="1"/>
    <xf numFmtId="0" fontId="0" fillId="8" borderId="0" xfId="0" applyFill="1"/>
    <xf numFmtId="0" fontId="7" fillId="0" borderId="0" xfId="0" applyFont="1" applyFill="1"/>
    <xf numFmtId="0" fontId="3" fillId="0" borderId="0" xfId="0" applyFont="1" applyAlignment="1">
      <alignment horizontal="center" vertical="center"/>
    </xf>
    <xf numFmtId="0" fontId="3" fillId="0" borderId="0" xfId="0" applyFont="1"/>
    <xf numFmtId="0" fontId="1" fillId="11" borderId="0" xfId="0" applyFont="1" applyFill="1" applyAlignment="1">
      <alignment horizontal="center" vertical="center"/>
    </xf>
    <xf numFmtId="0" fontId="3" fillId="11"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Alignment="1">
      <alignment horizontal="center" vertical="center"/>
    </xf>
    <xf numFmtId="0" fontId="11" fillId="6" borderId="0" xfId="0" applyFont="1" applyFill="1" applyAlignment="1">
      <alignment horizontal="center" vertical="center"/>
    </xf>
    <xf numFmtId="0" fontId="5" fillId="5" borderId="0" xfId="0" applyFont="1" applyFill="1" applyAlignment="1">
      <alignment horizontal="center" vertical="center"/>
    </xf>
    <xf numFmtId="164" fontId="5" fillId="6" borderId="0" xfId="0" applyNumberFormat="1" applyFont="1" applyFill="1" applyAlignment="1">
      <alignment horizontal="center" vertical="center"/>
    </xf>
    <xf numFmtId="0" fontId="12" fillId="8" borderId="0" xfId="0" applyFont="1" applyFill="1" applyAlignment="1">
      <alignment horizontal="center"/>
    </xf>
    <xf numFmtId="0" fontId="12" fillId="7" borderId="0" xfId="0" applyFont="1" applyFill="1" applyAlignment="1">
      <alignment horizontal="center"/>
    </xf>
    <xf numFmtId="0" fontId="14" fillId="5" borderId="0" xfId="0" applyFont="1" applyFill="1" applyAlignment="1">
      <alignment horizontal="center"/>
    </xf>
    <xf numFmtId="0" fontId="14" fillId="7" borderId="0" xfId="0" applyFont="1" applyFill="1" applyAlignment="1">
      <alignment horizontal="center"/>
    </xf>
    <xf numFmtId="0" fontId="13" fillId="5" borderId="0" xfId="0" applyFont="1" applyFill="1"/>
    <xf numFmtId="0" fontId="13" fillId="6" borderId="0" xfId="0" applyFont="1" applyFill="1"/>
    <xf numFmtId="164" fontId="13" fillId="6" borderId="0" xfId="0" applyNumberFormat="1" applyFont="1" applyFill="1"/>
    <xf numFmtId="0" fontId="14" fillId="6" borderId="0" xfId="0" applyFont="1" applyFill="1" applyAlignment="1">
      <alignment horizontal="center" vertical="center"/>
    </xf>
    <xf numFmtId="0" fontId="14" fillId="5" borderId="0" xfId="0" applyFont="1" applyFill="1" applyAlignment="1">
      <alignment horizontal="center" vertical="center"/>
    </xf>
    <xf numFmtId="0" fontId="0" fillId="0" borderId="0" xfId="0" applyFill="1" applyAlignment="1">
      <alignment horizontal="center" vertical="center"/>
    </xf>
    <xf numFmtId="0" fontId="14" fillId="3" borderId="0" xfId="0" applyFont="1" applyFill="1" applyAlignment="1">
      <alignment horizontal="center"/>
    </xf>
    <xf numFmtId="0" fontId="14" fillId="3" borderId="0" xfId="0" applyFont="1" applyFill="1" applyAlignment="1">
      <alignment horizontal="center" vertical="center"/>
    </xf>
    <xf numFmtId="0" fontId="13" fillId="7" borderId="0" xfId="0" applyFont="1" applyFill="1"/>
    <xf numFmtId="0" fontId="13" fillId="10" borderId="0" xfId="0" applyFont="1" applyFill="1"/>
    <xf numFmtId="0" fontId="13" fillId="6" borderId="0" xfId="0" applyFont="1" applyFill="1" applyAlignment="1">
      <alignment horizontal="center"/>
    </xf>
    <xf numFmtId="0" fontId="17" fillId="6" borderId="0" xfId="0" applyFont="1" applyFill="1" applyAlignment="1">
      <alignment horizontal="center" vertical="center"/>
    </xf>
    <xf numFmtId="0" fontId="13" fillId="6" borderId="0" xfId="0" applyFont="1" applyFill="1" applyAlignment="1">
      <alignment horizontal="center" vertical="center"/>
    </xf>
    <xf numFmtId="0" fontId="5" fillId="7" borderId="0" xfId="0" applyFont="1" applyFill="1"/>
    <xf numFmtId="0" fontId="5" fillId="5" borderId="0" xfId="0" applyFont="1" applyFill="1"/>
    <xf numFmtId="0" fontId="5" fillId="10" borderId="0" xfId="0" applyFont="1" applyFill="1"/>
    <xf numFmtId="0" fontId="5" fillId="6" borderId="0" xfId="0" applyFont="1" applyFill="1"/>
    <xf numFmtId="0" fontId="11" fillId="7" borderId="0" xfId="0" applyFont="1" applyFill="1"/>
    <xf numFmtId="0" fontId="5" fillId="0" borderId="0" xfId="0" applyFont="1"/>
    <xf numFmtId="0" fontId="14" fillId="5" borderId="0" xfId="0" applyFont="1" applyFill="1"/>
    <xf numFmtId="0" fontId="14" fillId="10" borderId="0" xfId="0" applyFont="1" applyFill="1"/>
    <xf numFmtId="0" fontId="5" fillId="9" borderId="0" xfId="0" applyFont="1" applyFill="1"/>
    <xf numFmtId="0" fontId="5" fillId="9" borderId="0" xfId="0" applyFont="1" applyFill="1" applyAlignment="1">
      <alignment horizontal="center"/>
    </xf>
    <xf numFmtId="0" fontId="11" fillId="9" borderId="0" xfId="0" applyFont="1" applyFill="1"/>
    <xf numFmtId="0" fontId="5" fillId="0" borderId="0" xfId="0" applyFont="1" applyAlignment="1">
      <alignment horizontal="center"/>
    </xf>
    <xf numFmtId="0" fontId="4" fillId="4" borderId="0" xfId="0" applyFont="1" applyFill="1"/>
    <xf numFmtId="164" fontId="4" fillId="4" borderId="0" xfId="0" applyNumberFormat="1" applyFont="1" applyFill="1"/>
    <xf numFmtId="164" fontId="4" fillId="4" borderId="0" xfId="0" applyNumberFormat="1" applyFont="1" applyFill="1" applyAlignment="1">
      <alignment horizontal="center"/>
    </xf>
    <xf numFmtId="0" fontId="18" fillId="4" borderId="0" xfId="0" applyFont="1" applyFill="1"/>
    <xf numFmtId="0" fontId="11" fillId="8" borderId="0" xfId="0" applyFont="1" applyFill="1" applyAlignment="1">
      <alignment horizontal="left" vertical="top"/>
    </xf>
    <xf numFmtId="0" fontId="14" fillId="6" borderId="0" xfId="0" applyFont="1" applyFill="1" applyAlignment="1">
      <alignment horizontal="center" vertical="center"/>
    </xf>
    <xf numFmtId="164" fontId="19" fillId="4" borderId="0" xfId="0" applyNumberFormat="1" applyFont="1" applyFill="1" applyAlignment="1">
      <alignment horizontal="center"/>
    </xf>
    <xf numFmtId="164" fontId="20" fillId="4" borderId="0" xfId="0" applyNumberFormat="1" applyFont="1" applyFill="1" applyAlignment="1">
      <alignment horizontal="center"/>
    </xf>
    <xf numFmtId="164" fontId="0" fillId="0" borderId="0" xfId="0" applyNumberFormat="1"/>
    <xf numFmtId="164" fontId="0" fillId="0" borderId="0" xfId="0" applyNumberFormat="1" applyFill="1"/>
    <xf numFmtId="0" fontId="15" fillId="2" borderId="0" xfId="0" applyFont="1" applyFill="1" applyAlignment="1">
      <alignment horizontal="center" vertical="center" wrapText="1"/>
    </xf>
    <xf numFmtId="0" fontId="16" fillId="2" borderId="0" xfId="0" applyFont="1" applyFill="1" applyAlignment="1">
      <alignment horizontal="center" vertical="center"/>
    </xf>
    <xf numFmtId="0" fontId="14" fillId="6" borderId="0" xfId="0" applyFont="1" applyFill="1" applyAlignment="1">
      <alignment horizontal="center" vertical="center"/>
    </xf>
    <xf numFmtId="0" fontId="14" fillId="7" borderId="0" xfId="0" applyFont="1" applyFill="1" applyAlignment="1">
      <alignment horizontal="center"/>
    </xf>
    <xf numFmtId="0" fontId="1" fillId="3"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123825</xdr:colOff>
          <xdr:row>0</xdr:row>
          <xdr:rowOff>390525</xdr:rowOff>
        </xdr:from>
        <xdr:to>
          <xdr:col>8</xdr:col>
          <xdr:colOff>285750</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Clasificar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8</xdr:col>
          <xdr:colOff>266700</xdr:colOff>
          <xdr:row>0</xdr:row>
          <xdr:rowOff>323850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Restablecer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0</xdr:row>
          <xdr:rowOff>104775</xdr:rowOff>
        </xdr:from>
        <xdr:to>
          <xdr:col>10</xdr:col>
          <xdr:colOff>342900</xdr:colOff>
          <xdr:row>0</xdr:row>
          <xdr:rowOff>342900</xdr:rowOff>
        </xdr:to>
        <xdr:sp macro="" textlink="">
          <xdr:nvSpPr>
            <xdr:cNvPr id="1029" name="Label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Porcentaje de aprobación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0</xdr:row>
          <xdr:rowOff>361950</xdr:rowOff>
        </xdr:from>
        <xdr:to>
          <xdr:col>10</xdr:col>
          <xdr:colOff>361950</xdr:colOff>
          <xdr:row>0</xdr:row>
          <xdr:rowOff>600075</xdr:rowOff>
        </xdr:to>
        <xdr:sp macro="" textlink="">
          <xdr:nvSpPr>
            <xdr:cNvPr id="1031" name="Label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Media grupal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66675</xdr:rowOff>
        </xdr:from>
        <xdr:to>
          <xdr:col>11</xdr:col>
          <xdr:colOff>257175</xdr:colOff>
          <xdr:row>0</xdr:row>
          <xdr:rowOff>295275</xdr:rowOff>
        </xdr:to>
        <xdr:sp macro="" textlink="">
          <xdr:nvSpPr>
            <xdr:cNvPr id="1032" name="PA"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371475</xdr:rowOff>
        </xdr:from>
        <xdr:to>
          <xdr:col>11</xdr:col>
          <xdr:colOff>257175</xdr:colOff>
          <xdr:row>0</xdr:row>
          <xdr:rowOff>600075</xdr:rowOff>
        </xdr:to>
        <xdr:sp macro="" textlink="">
          <xdr:nvSpPr>
            <xdr:cNvPr id="1033" name="MG"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304800</xdr:colOff>
      <xdr:row>1</xdr:row>
      <xdr:rowOff>95250</xdr:rowOff>
    </xdr:from>
    <xdr:to>
      <xdr:col>14</xdr:col>
      <xdr:colOff>514350</xdr:colOff>
      <xdr:row>3</xdr:row>
      <xdr:rowOff>161925</xdr:rowOff>
    </xdr:to>
    <xdr:sp macro="" textlink="">
      <xdr:nvSpPr>
        <xdr:cNvPr id="2" name="1 CuadroTexto"/>
        <xdr:cNvSpPr txBox="1"/>
      </xdr:nvSpPr>
      <xdr:spPr>
        <a:xfrm>
          <a:off x="7219950" y="285750"/>
          <a:ext cx="1733550"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75000"/>
                </a:schemeClr>
              </a:solidFill>
            </a:rPr>
            <a:t>1</a:t>
          </a:r>
          <a:r>
            <a:rPr lang="es-MX" sz="1100" b="1" baseline="0">
              <a:solidFill>
                <a:schemeClr val="accent5">
                  <a:lumMod val="75000"/>
                </a:schemeClr>
              </a:solidFill>
            </a:rPr>
            <a:t> - Asistencia registrada</a:t>
          </a:r>
        </a:p>
        <a:p>
          <a:r>
            <a:rPr lang="es-MX" sz="1100" b="1" baseline="0">
              <a:solidFill>
                <a:schemeClr val="accent5">
                  <a:lumMod val="75000"/>
                </a:schemeClr>
              </a:solidFill>
            </a:rPr>
            <a:t>0 - No asistencia</a:t>
          </a:r>
          <a:endParaRPr lang="es-MX" sz="1100" b="1">
            <a:solidFill>
              <a:schemeClr val="accent5">
                <a:lumMod val="75000"/>
              </a:schemeClr>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L40"/>
  <sheetViews>
    <sheetView workbookViewId="0">
      <selection activeCell="B21" sqref="B21"/>
    </sheetView>
  </sheetViews>
  <sheetFormatPr baseColWidth="10" defaultRowHeight="15" x14ac:dyDescent="0.25"/>
  <cols>
    <col min="1" max="1" width="36.5703125" customWidth="1"/>
    <col min="2" max="6" width="7.7109375" customWidth="1"/>
    <col min="7" max="7" width="21.28515625" customWidth="1"/>
    <col min="9" max="9" width="13.85546875" customWidth="1"/>
    <col min="12" max="12" width="7.5703125" customWidth="1"/>
  </cols>
  <sheetData>
    <row r="1" spans="1:12" ht="49.5" customHeight="1" x14ac:dyDescent="0.25">
      <c r="A1" s="63" t="s">
        <v>64</v>
      </c>
      <c r="B1" s="64"/>
      <c r="C1" s="64"/>
      <c r="D1" s="64"/>
      <c r="E1" s="64"/>
      <c r="F1" s="64"/>
      <c r="G1" s="64"/>
      <c r="H1" s="12"/>
      <c r="I1" s="12"/>
      <c r="J1" s="13"/>
      <c r="K1" s="13"/>
      <c r="L1" s="13"/>
    </row>
    <row r="2" spans="1:12" x14ac:dyDescent="0.25">
      <c r="A2" s="34" t="s">
        <v>31</v>
      </c>
      <c r="B2" s="35" t="s">
        <v>46</v>
      </c>
      <c r="C2" s="34" t="s">
        <v>65</v>
      </c>
      <c r="D2" s="34" t="s">
        <v>65</v>
      </c>
      <c r="E2" s="34" t="s">
        <v>65</v>
      </c>
      <c r="F2" s="34" t="s">
        <v>65</v>
      </c>
      <c r="G2" s="34" t="s">
        <v>47</v>
      </c>
      <c r="H2" s="12"/>
      <c r="I2" s="12"/>
      <c r="J2" s="13"/>
      <c r="K2" s="13"/>
      <c r="L2" s="13"/>
    </row>
    <row r="3" spans="1:12" ht="12.95" customHeight="1" x14ac:dyDescent="0.25">
      <c r="A3" s="53" t="s">
        <v>0</v>
      </c>
      <c r="B3" s="59">
        <f>('P1'!S3)</f>
        <v>78.95</v>
      </c>
      <c r="C3" s="54"/>
      <c r="D3" s="54"/>
      <c r="E3" s="54"/>
      <c r="F3" s="54"/>
      <c r="G3" s="55">
        <f>AVERAGE(B3:F3)</f>
        <v>78.95</v>
      </c>
      <c r="H3" s="14"/>
      <c r="I3" s="14"/>
      <c r="J3" s="10"/>
      <c r="K3" s="10"/>
      <c r="L3" s="10"/>
    </row>
    <row r="4" spans="1:12" ht="12.95" customHeight="1" x14ac:dyDescent="0.25">
      <c r="A4" s="53" t="s">
        <v>1</v>
      </c>
      <c r="B4" s="59">
        <f>('P1'!S4)</f>
        <v>81.849999999999994</v>
      </c>
      <c r="C4" s="54"/>
      <c r="D4" s="54"/>
      <c r="E4" s="54"/>
      <c r="F4" s="54"/>
      <c r="G4" s="55">
        <f t="shared" ref="G4:G40" si="0">AVERAGE(B4:F4)</f>
        <v>81.849999999999994</v>
      </c>
      <c r="H4" s="10"/>
      <c r="I4" s="10"/>
      <c r="J4" s="10"/>
      <c r="K4" s="10"/>
      <c r="L4" s="10"/>
    </row>
    <row r="5" spans="1:12" ht="12.95" customHeight="1" x14ac:dyDescent="0.25">
      <c r="A5" s="53" t="s">
        <v>2</v>
      </c>
      <c r="B5" s="59">
        <f>('P1'!S5)</f>
        <v>74.125</v>
      </c>
      <c r="C5" s="54"/>
      <c r="D5" s="54"/>
      <c r="E5" s="54"/>
      <c r="F5" s="54"/>
      <c r="G5" s="55">
        <f t="shared" si="0"/>
        <v>74.125</v>
      </c>
      <c r="H5" s="62"/>
      <c r="I5" s="10"/>
      <c r="J5" s="10"/>
      <c r="K5" s="10"/>
    </row>
    <row r="6" spans="1:12" ht="12.95" customHeight="1" x14ac:dyDescent="0.25">
      <c r="A6" s="53" t="s">
        <v>70</v>
      </c>
      <c r="B6" s="59">
        <f>('P1'!S6)</f>
        <v>70.924999999999997</v>
      </c>
      <c r="C6" s="54"/>
      <c r="D6" s="54"/>
      <c r="E6" s="54"/>
      <c r="F6" s="54"/>
      <c r="G6" s="55">
        <f t="shared" si="0"/>
        <v>70.924999999999997</v>
      </c>
      <c r="H6" s="10"/>
      <c r="I6" s="10"/>
      <c r="J6" s="10"/>
      <c r="K6" s="10"/>
    </row>
    <row r="7" spans="1:12" ht="12.95" customHeight="1" x14ac:dyDescent="0.25">
      <c r="A7" s="53" t="s">
        <v>4</v>
      </c>
      <c r="B7" s="60">
        <f>('P1'!S7)</f>
        <v>45.900000000000006</v>
      </c>
      <c r="C7" s="54"/>
      <c r="D7" s="54"/>
      <c r="E7" s="54"/>
      <c r="F7" s="54"/>
      <c r="G7" s="55">
        <f t="shared" si="0"/>
        <v>45.900000000000006</v>
      </c>
      <c r="H7" s="10"/>
      <c r="I7" s="11"/>
      <c r="J7" s="10"/>
      <c r="K7" s="10"/>
    </row>
    <row r="8" spans="1:12" ht="12.95" customHeight="1" x14ac:dyDescent="0.25">
      <c r="A8" s="53" t="s">
        <v>5</v>
      </c>
      <c r="B8" s="60">
        <f>('P1'!S8)</f>
        <v>63.375</v>
      </c>
      <c r="C8" s="54"/>
      <c r="D8" s="54"/>
      <c r="E8" s="54"/>
      <c r="F8" s="54"/>
      <c r="G8" s="55">
        <f t="shared" si="0"/>
        <v>63.375</v>
      </c>
      <c r="H8" s="10"/>
      <c r="I8" s="11"/>
      <c r="J8" s="10"/>
      <c r="K8" s="10"/>
    </row>
    <row r="9" spans="1:12" ht="12.95" customHeight="1" x14ac:dyDescent="0.25">
      <c r="A9" s="53" t="s">
        <v>6</v>
      </c>
      <c r="B9" s="60">
        <f>('P1'!S9)</f>
        <v>65.899999999999991</v>
      </c>
      <c r="C9" s="54"/>
      <c r="D9" s="54"/>
      <c r="E9" s="54"/>
      <c r="F9" s="54"/>
      <c r="G9" s="55">
        <f t="shared" si="0"/>
        <v>65.899999999999991</v>
      </c>
      <c r="H9" s="10"/>
      <c r="I9" s="10"/>
      <c r="J9" s="10"/>
      <c r="K9" s="10"/>
    </row>
    <row r="10" spans="1:12" ht="12.95" customHeight="1" x14ac:dyDescent="0.25">
      <c r="A10" s="53" t="s">
        <v>7</v>
      </c>
      <c r="B10" s="60">
        <f>('P1'!S10)</f>
        <v>33.1</v>
      </c>
      <c r="C10" s="54"/>
      <c r="D10" s="54"/>
      <c r="E10" s="54"/>
      <c r="F10" s="54"/>
      <c r="G10" s="55">
        <f t="shared" si="0"/>
        <v>33.1</v>
      </c>
    </row>
    <row r="11" spans="1:12" ht="12.95" customHeight="1" x14ac:dyDescent="0.25">
      <c r="A11" s="53" t="s">
        <v>9</v>
      </c>
      <c r="B11" s="60">
        <f>('P1'!S11)</f>
        <v>54.3</v>
      </c>
      <c r="C11" s="54"/>
      <c r="D11" s="54"/>
      <c r="E11" s="54"/>
      <c r="F11" s="54"/>
      <c r="G11" s="55">
        <f t="shared" si="0"/>
        <v>54.3</v>
      </c>
    </row>
    <row r="12" spans="1:12" ht="12.95" customHeight="1" x14ac:dyDescent="0.25">
      <c r="A12" s="53" t="s">
        <v>10</v>
      </c>
      <c r="B12" s="60">
        <f>('P1'!S12)</f>
        <v>45.174999999999997</v>
      </c>
      <c r="C12" s="54"/>
      <c r="D12" s="54"/>
      <c r="E12" s="54"/>
      <c r="F12" s="54"/>
      <c r="G12" s="55">
        <f t="shared" si="0"/>
        <v>45.174999999999997</v>
      </c>
    </row>
    <row r="13" spans="1:12" ht="12.95" customHeight="1" x14ac:dyDescent="0.25">
      <c r="A13" s="53" t="s">
        <v>11</v>
      </c>
      <c r="B13" s="60">
        <f>('P1'!S13)</f>
        <v>40.75</v>
      </c>
      <c r="C13" s="54"/>
      <c r="D13" s="54"/>
      <c r="E13" s="54"/>
      <c r="F13" s="54"/>
      <c r="G13" s="55">
        <f t="shared" si="0"/>
        <v>40.75</v>
      </c>
    </row>
    <row r="14" spans="1:12" ht="12.95" customHeight="1" x14ac:dyDescent="0.25">
      <c r="A14" s="53" t="s">
        <v>12</v>
      </c>
      <c r="B14" s="60">
        <f>('P1'!S14)</f>
        <v>24.4</v>
      </c>
      <c r="C14" s="54"/>
      <c r="D14" s="54"/>
      <c r="E14" s="54"/>
      <c r="F14" s="54"/>
      <c r="G14" s="55">
        <f t="shared" si="0"/>
        <v>24.4</v>
      </c>
    </row>
    <row r="15" spans="1:12" ht="12.95" customHeight="1" x14ac:dyDescent="0.25">
      <c r="A15" s="53" t="s">
        <v>13</v>
      </c>
      <c r="B15" s="60">
        <f>('P1'!S15)</f>
        <v>64.900000000000006</v>
      </c>
      <c r="C15" s="54"/>
      <c r="D15" s="54"/>
      <c r="E15" s="54"/>
      <c r="F15" s="54"/>
      <c r="G15" s="55">
        <f t="shared" si="0"/>
        <v>64.900000000000006</v>
      </c>
    </row>
    <row r="16" spans="1:12" ht="12.95" customHeight="1" x14ac:dyDescent="0.25">
      <c r="A16" s="53" t="s">
        <v>14</v>
      </c>
      <c r="B16" s="60">
        <f>('P1'!S16)</f>
        <v>45</v>
      </c>
      <c r="C16" s="54"/>
      <c r="D16" s="54"/>
      <c r="E16" s="54"/>
      <c r="F16" s="54"/>
      <c r="G16" s="55">
        <f t="shared" si="0"/>
        <v>45</v>
      </c>
      <c r="J16" s="61"/>
    </row>
    <row r="17" spans="1:7" ht="12.95" customHeight="1" x14ac:dyDescent="0.25">
      <c r="A17" s="53" t="s">
        <v>15</v>
      </c>
      <c r="B17" s="60">
        <f>('P1'!S17)</f>
        <v>22.95</v>
      </c>
      <c r="C17" s="54"/>
      <c r="D17" s="54"/>
      <c r="E17" s="54"/>
      <c r="F17" s="54"/>
      <c r="G17" s="55">
        <f t="shared" si="0"/>
        <v>22.95</v>
      </c>
    </row>
    <row r="18" spans="1:7" ht="12.95" customHeight="1" x14ac:dyDescent="0.25">
      <c r="A18" s="53" t="s">
        <v>16</v>
      </c>
      <c r="B18" s="59">
        <f>('P1'!S18)</f>
        <v>73.75</v>
      </c>
      <c r="C18" s="54"/>
      <c r="D18" s="54"/>
      <c r="E18" s="54"/>
      <c r="F18" s="54"/>
      <c r="G18" s="55">
        <f t="shared" si="0"/>
        <v>73.75</v>
      </c>
    </row>
    <row r="19" spans="1:7" ht="12.95" customHeight="1" x14ac:dyDescent="0.25">
      <c r="A19" s="53" t="s">
        <v>17</v>
      </c>
      <c r="B19" s="60">
        <f>('P1'!S19)</f>
        <v>54.4</v>
      </c>
      <c r="C19" s="54"/>
      <c r="D19" s="54"/>
      <c r="E19" s="54"/>
      <c r="F19" s="54"/>
      <c r="G19" s="55">
        <f t="shared" si="0"/>
        <v>54.4</v>
      </c>
    </row>
    <row r="20" spans="1:7" ht="12.95" customHeight="1" x14ac:dyDescent="0.25">
      <c r="A20" s="53" t="s">
        <v>60</v>
      </c>
      <c r="B20" s="60">
        <f>('P1'!S20)</f>
        <v>45.575000000000003</v>
      </c>
      <c r="C20" s="54"/>
      <c r="D20" s="54"/>
      <c r="E20" s="54"/>
      <c r="F20" s="54"/>
      <c r="G20" s="55">
        <f t="shared" si="0"/>
        <v>45.575000000000003</v>
      </c>
    </row>
    <row r="21" spans="1:7" ht="12.95" customHeight="1" x14ac:dyDescent="0.25">
      <c r="A21" s="53" t="s">
        <v>18</v>
      </c>
      <c r="B21" s="60">
        <f>('P1'!S21)</f>
        <v>64.45</v>
      </c>
      <c r="C21" s="54"/>
      <c r="D21" s="54"/>
      <c r="E21" s="54"/>
      <c r="F21" s="54"/>
      <c r="G21" s="55">
        <f t="shared" si="0"/>
        <v>64.45</v>
      </c>
    </row>
    <row r="22" spans="1:7" ht="12.95" customHeight="1" x14ac:dyDescent="0.25">
      <c r="A22" s="53" t="s">
        <v>19</v>
      </c>
      <c r="B22" s="59">
        <f>('P1'!S22)</f>
        <v>72.599999999999994</v>
      </c>
      <c r="C22" s="54"/>
      <c r="D22" s="54"/>
      <c r="E22" s="54"/>
      <c r="F22" s="54"/>
      <c r="G22" s="55">
        <f t="shared" si="0"/>
        <v>72.599999999999994</v>
      </c>
    </row>
    <row r="23" spans="1:7" ht="12.95" customHeight="1" x14ac:dyDescent="0.25">
      <c r="A23" s="53" t="s">
        <v>20</v>
      </c>
      <c r="B23" s="60">
        <f>('P1'!S23)</f>
        <v>62.2</v>
      </c>
      <c r="C23" s="54"/>
      <c r="D23" s="54"/>
      <c r="E23" s="54"/>
      <c r="F23" s="54"/>
      <c r="G23" s="55">
        <f t="shared" si="0"/>
        <v>62.2</v>
      </c>
    </row>
    <row r="24" spans="1:7" ht="12.95" customHeight="1" x14ac:dyDescent="0.25">
      <c r="A24" s="53" t="s">
        <v>21</v>
      </c>
      <c r="B24" s="59">
        <f>('P1'!S24)</f>
        <v>89.025000000000006</v>
      </c>
      <c r="C24" s="54"/>
      <c r="D24" s="54"/>
      <c r="E24" s="54"/>
      <c r="F24" s="54"/>
      <c r="G24" s="55">
        <f t="shared" si="0"/>
        <v>89.025000000000006</v>
      </c>
    </row>
    <row r="25" spans="1:7" ht="12.95" customHeight="1" x14ac:dyDescent="0.25">
      <c r="A25" s="53" t="s">
        <v>22</v>
      </c>
      <c r="B25" s="60">
        <f>('P1'!S25)</f>
        <v>57.274999999999999</v>
      </c>
      <c r="C25" s="54"/>
      <c r="D25" s="54"/>
      <c r="E25" s="54"/>
      <c r="F25" s="54"/>
      <c r="G25" s="55">
        <f t="shared" si="0"/>
        <v>57.274999999999999</v>
      </c>
    </row>
    <row r="26" spans="1:7" ht="12.95" customHeight="1" x14ac:dyDescent="0.25">
      <c r="A26" s="53" t="s">
        <v>76</v>
      </c>
      <c r="B26" s="60">
        <f>('P1'!S26)</f>
        <v>61.599999999999994</v>
      </c>
      <c r="C26" s="54"/>
      <c r="D26" s="54"/>
      <c r="E26" s="54"/>
      <c r="F26" s="54"/>
      <c r="G26" s="55">
        <f t="shared" si="0"/>
        <v>61.599999999999994</v>
      </c>
    </row>
    <row r="27" spans="1:7" ht="12.95" customHeight="1" x14ac:dyDescent="0.25">
      <c r="A27" s="53" t="s">
        <v>71</v>
      </c>
      <c r="B27" s="60">
        <f>('P1'!S27)</f>
        <v>56.074999999999996</v>
      </c>
      <c r="C27" s="54"/>
      <c r="D27" s="54"/>
      <c r="E27" s="54"/>
      <c r="F27" s="54"/>
      <c r="G27" s="55">
        <f t="shared" si="0"/>
        <v>56.074999999999996</v>
      </c>
    </row>
    <row r="28" spans="1:7" ht="12.95" customHeight="1" x14ac:dyDescent="0.25">
      <c r="A28" s="53" t="s">
        <v>59</v>
      </c>
      <c r="B28" s="60">
        <f>('P1'!S28)</f>
        <v>50.875</v>
      </c>
      <c r="C28" s="54"/>
      <c r="D28" s="54"/>
      <c r="E28" s="54"/>
      <c r="F28" s="54"/>
      <c r="G28" s="55">
        <f t="shared" si="0"/>
        <v>50.875</v>
      </c>
    </row>
    <row r="29" spans="1:7" ht="12.95" customHeight="1" x14ac:dyDescent="0.25">
      <c r="A29" s="53" t="s">
        <v>26</v>
      </c>
      <c r="B29" s="59">
        <f>('P1'!S29)</f>
        <v>77.824999999999989</v>
      </c>
      <c r="C29" s="54"/>
      <c r="D29" s="54"/>
      <c r="E29" s="54"/>
      <c r="F29" s="54"/>
      <c r="G29" s="55">
        <f t="shared" si="0"/>
        <v>77.824999999999989</v>
      </c>
    </row>
    <row r="30" spans="1:7" ht="12.95" customHeight="1" x14ac:dyDescent="0.25">
      <c r="A30" s="53" t="s">
        <v>32</v>
      </c>
      <c r="B30" s="59">
        <f>('P1'!S30)</f>
        <v>88.525000000000006</v>
      </c>
      <c r="C30" s="54"/>
      <c r="D30" s="54"/>
      <c r="E30" s="54"/>
      <c r="F30" s="54"/>
      <c r="G30" s="55">
        <f t="shared" si="0"/>
        <v>88.525000000000006</v>
      </c>
    </row>
    <row r="31" spans="1:7" ht="12.95" customHeight="1" x14ac:dyDescent="0.25">
      <c r="A31" s="53" t="s">
        <v>48</v>
      </c>
      <c r="B31" s="59">
        <f>('P1'!S31)</f>
        <v>93.1</v>
      </c>
      <c r="C31" s="54"/>
      <c r="D31" s="54"/>
      <c r="E31" s="54"/>
      <c r="F31" s="54"/>
      <c r="G31" s="55">
        <f t="shared" si="0"/>
        <v>93.1</v>
      </c>
    </row>
    <row r="32" spans="1:7" ht="12.95" customHeight="1" x14ac:dyDescent="0.25">
      <c r="A32" s="53" t="s">
        <v>49</v>
      </c>
      <c r="B32" s="60">
        <f>('P1'!S32)</f>
        <v>57.65</v>
      </c>
      <c r="C32" s="54"/>
      <c r="D32" s="54"/>
      <c r="E32" s="54"/>
      <c r="F32" s="54"/>
      <c r="G32" s="55">
        <f t="shared" si="0"/>
        <v>57.65</v>
      </c>
    </row>
    <row r="33" spans="1:7" ht="12.95" customHeight="1" x14ac:dyDescent="0.25">
      <c r="A33" s="53" t="s">
        <v>50</v>
      </c>
      <c r="B33" s="60">
        <f>('P1'!S33)</f>
        <v>25.7</v>
      </c>
      <c r="C33" s="54"/>
      <c r="D33" s="54"/>
      <c r="E33" s="54"/>
      <c r="F33" s="54"/>
      <c r="G33" s="55">
        <f t="shared" si="0"/>
        <v>25.7</v>
      </c>
    </row>
    <row r="34" spans="1:7" ht="12.95" customHeight="1" x14ac:dyDescent="0.25">
      <c r="A34" s="53" t="s">
        <v>51</v>
      </c>
      <c r="B34" s="60">
        <f>('P1'!S34)</f>
        <v>54.2</v>
      </c>
      <c r="C34" s="54"/>
      <c r="D34" s="54"/>
      <c r="E34" s="54"/>
      <c r="F34" s="54"/>
      <c r="G34" s="55">
        <f t="shared" si="0"/>
        <v>54.2</v>
      </c>
    </row>
    <row r="35" spans="1:7" ht="12.95" customHeight="1" x14ac:dyDescent="0.25">
      <c r="A35" s="53" t="s">
        <v>52</v>
      </c>
      <c r="B35" s="60">
        <f>('P1'!S35)</f>
        <v>11.75</v>
      </c>
      <c r="C35" s="54"/>
      <c r="D35" s="54"/>
      <c r="E35" s="54"/>
      <c r="F35" s="54"/>
      <c r="G35" s="55">
        <f t="shared" si="0"/>
        <v>11.75</v>
      </c>
    </row>
    <row r="36" spans="1:7" ht="12.95" customHeight="1" x14ac:dyDescent="0.25">
      <c r="A36" s="53" t="s">
        <v>62</v>
      </c>
      <c r="B36" s="60">
        <f>('P1'!S36)</f>
        <v>41.375</v>
      </c>
      <c r="C36" s="54"/>
      <c r="D36" s="54"/>
      <c r="E36" s="54"/>
      <c r="F36" s="54"/>
      <c r="G36" s="55">
        <f t="shared" si="0"/>
        <v>41.375</v>
      </c>
    </row>
    <row r="37" spans="1:7" ht="12.95" customHeight="1" x14ac:dyDescent="0.25">
      <c r="A37" s="56" t="s">
        <v>69</v>
      </c>
      <c r="B37" s="60">
        <f>('P1'!S37)</f>
        <v>11</v>
      </c>
      <c r="C37" s="53"/>
      <c r="D37" s="53"/>
      <c r="E37" s="53"/>
      <c r="F37" s="53"/>
      <c r="G37" s="55">
        <f t="shared" si="0"/>
        <v>11</v>
      </c>
    </row>
    <row r="38" spans="1:7" ht="12.95" customHeight="1" x14ac:dyDescent="0.25">
      <c r="A38" s="56" t="s">
        <v>72</v>
      </c>
      <c r="B38" s="60">
        <f>('P1'!S38)</f>
        <v>28.95</v>
      </c>
      <c r="C38" s="53"/>
      <c r="D38" s="53"/>
      <c r="E38" s="53"/>
      <c r="F38" s="53"/>
      <c r="G38" s="55">
        <f t="shared" si="0"/>
        <v>28.95</v>
      </c>
    </row>
    <row r="39" spans="1:7" ht="12.95" customHeight="1" x14ac:dyDescent="0.25">
      <c r="A39" s="56" t="s">
        <v>73</v>
      </c>
      <c r="B39" s="60">
        <f>('P1'!S39)</f>
        <v>31.7</v>
      </c>
      <c r="C39" s="53"/>
      <c r="D39" s="53"/>
      <c r="E39" s="53"/>
      <c r="F39" s="53"/>
      <c r="G39" s="55">
        <f t="shared" si="0"/>
        <v>31.7</v>
      </c>
    </row>
    <row r="40" spans="1:7" ht="12.95" customHeight="1" x14ac:dyDescent="0.25">
      <c r="A40" s="56" t="s">
        <v>77</v>
      </c>
      <c r="B40" s="60">
        <f>('P1'!S40)</f>
        <v>5</v>
      </c>
      <c r="C40" s="53"/>
      <c r="D40" s="53"/>
      <c r="E40" s="53"/>
      <c r="F40" s="53"/>
      <c r="G40" s="55">
        <f t="shared" si="0"/>
        <v>5</v>
      </c>
    </row>
  </sheetData>
  <mergeCells count="1">
    <mergeCell ref="A1:G1"/>
  </mergeCells>
  <pageMargins left="0.7" right="0.7" top="0.75" bottom="0.75" header="0.3" footer="0.3"/>
  <pageSetup orientation="portrait" r:id="rId1"/>
  <drawing r:id="rId2"/>
  <legacyDrawing r:id="rId3"/>
  <controls>
    <mc:AlternateContent xmlns:mc="http://schemas.openxmlformats.org/markup-compatibility/2006">
      <mc:Choice Requires="x14">
        <control shapeId="1033" r:id="rId4" name="MG">
          <controlPr autoLine="0" r:id="rId5">
            <anchor moveWithCells="1">
              <from>
                <xdr:col>10</xdr:col>
                <xdr:colOff>104775</xdr:colOff>
                <xdr:row>0</xdr:row>
                <xdr:rowOff>371475</xdr:rowOff>
              </from>
              <to>
                <xdr:col>11</xdr:col>
                <xdr:colOff>257175</xdr:colOff>
                <xdr:row>0</xdr:row>
                <xdr:rowOff>600075</xdr:rowOff>
              </to>
            </anchor>
          </controlPr>
        </control>
      </mc:Choice>
      <mc:Fallback>
        <control shapeId="1033" r:id="rId4" name="MG"/>
      </mc:Fallback>
    </mc:AlternateContent>
    <mc:AlternateContent xmlns:mc="http://schemas.openxmlformats.org/markup-compatibility/2006">
      <mc:Choice Requires="x14">
        <control shapeId="1032" r:id="rId6" name="PA">
          <controlPr autoLine="0" r:id="rId7">
            <anchor moveWithCells="1">
              <from>
                <xdr:col>10</xdr:col>
                <xdr:colOff>104775</xdr:colOff>
                <xdr:row>0</xdr:row>
                <xdr:rowOff>66675</xdr:rowOff>
              </from>
              <to>
                <xdr:col>11</xdr:col>
                <xdr:colOff>257175</xdr:colOff>
                <xdr:row>0</xdr:row>
                <xdr:rowOff>295275</xdr:rowOff>
              </to>
            </anchor>
          </controlPr>
        </control>
      </mc:Choice>
      <mc:Fallback>
        <control shapeId="1032" r:id="rId6" name="PA"/>
      </mc:Fallback>
    </mc:AlternateContent>
    <mc:AlternateContent xmlns:mc="http://schemas.openxmlformats.org/markup-compatibility/2006">
      <mc:Choice Requires="x14">
        <control shapeId="1025" r:id="rId8" name="Button 1">
          <controlPr defaultSize="0" print="0" autoFill="0" autoPict="0" macro="[0]!Hoja1.Formatear">
            <anchor moveWithCells="1" sizeWithCells="1">
              <from>
                <xdr:col>7</xdr:col>
                <xdr:colOff>123825</xdr:colOff>
                <xdr:row>0</xdr:row>
                <xdr:rowOff>390525</xdr:rowOff>
              </from>
              <to>
                <xdr:col>8</xdr:col>
                <xdr:colOff>285750</xdr:colOff>
                <xdr:row>1</xdr:row>
                <xdr:rowOff>19050</xdr:rowOff>
              </to>
            </anchor>
          </controlPr>
        </control>
      </mc:Choice>
    </mc:AlternateContent>
    <mc:AlternateContent xmlns:mc="http://schemas.openxmlformats.org/markup-compatibility/2006">
      <mc:Choice Requires="x14">
        <control shapeId="1028" r:id="rId9" name="Button 4">
          <controlPr defaultSize="0" print="0" autoFill="0" autoPict="0" macro="[0]!Hoja1.Restaurar">
            <anchor moveWithCells="1" sizeWithCells="1">
              <from>
                <xdr:col>7</xdr:col>
                <xdr:colOff>114300</xdr:colOff>
                <xdr:row>0</xdr:row>
                <xdr:rowOff>57150</xdr:rowOff>
              </from>
              <to>
                <xdr:col>8</xdr:col>
                <xdr:colOff>266700</xdr:colOff>
                <xdr:row>0</xdr:row>
                <xdr:rowOff>323850</xdr:rowOff>
              </to>
            </anchor>
          </controlPr>
        </control>
      </mc:Choice>
    </mc:AlternateContent>
    <mc:AlternateContent xmlns:mc="http://schemas.openxmlformats.org/markup-compatibility/2006">
      <mc:Choice Requires="x14">
        <control shapeId="1029" r:id="rId10" name="Label 5">
          <controlPr defaultSize="0" autoFill="0" autoLine="0" autoPict="0">
            <anchor moveWithCells="1" sizeWithCells="1">
              <from>
                <xdr:col>8</xdr:col>
                <xdr:colOff>466725</xdr:colOff>
                <xdr:row>0</xdr:row>
                <xdr:rowOff>104775</xdr:rowOff>
              </from>
              <to>
                <xdr:col>10</xdr:col>
                <xdr:colOff>342900</xdr:colOff>
                <xdr:row>0</xdr:row>
                <xdr:rowOff>342900</xdr:rowOff>
              </to>
            </anchor>
          </controlPr>
        </control>
      </mc:Choice>
    </mc:AlternateContent>
    <mc:AlternateContent xmlns:mc="http://schemas.openxmlformats.org/markup-compatibility/2006">
      <mc:Choice Requires="x14">
        <control shapeId="1031" r:id="rId11" name="Label 7">
          <controlPr defaultSize="0" autoFill="0" autoLine="0" autoPict="0">
            <anchor moveWithCells="1" sizeWithCells="1">
              <from>
                <xdr:col>8</xdr:col>
                <xdr:colOff>485775</xdr:colOff>
                <xdr:row>0</xdr:row>
                <xdr:rowOff>361950</xdr:rowOff>
              </from>
              <to>
                <xdr:col>10</xdr:col>
                <xdr:colOff>361950</xdr:colOff>
                <xdr:row>0</xdr:row>
                <xdr:rowOff>600075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S41"/>
  <sheetViews>
    <sheetView tabSelected="1" workbookViewId="0">
      <selection activeCell="G3" sqref="G3"/>
    </sheetView>
  </sheetViews>
  <sheetFormatPr baseColWidth="10" defaultRowHeight="15" x14ac:dyDescent="0.25"/>
  <cols>
    <col min="1" max="1" width="30.42578125" customWidth="1"/>
    <col min="2" max="8" width="5.7109375" customWidth="1"/>
    <col min="9" max="9" width="1.7109375" customWidth="1"/>
    <col min="10" max="13" width="5.7109375" customWidth="1"/>
    <col min="14" max="14" width="1.7109375" customWidth="1"/>
    <col min="15" max="15" width="12" customWidth="1"/>
    <col min="16" max="16" width="1.7109375" customWidth="1"/>
    <col min="18" max="18" width="1.7109375" customWidth="1"/>
    <col min="19" max="19" width="16.7109375" customWidth="1"/>
  </cols>
  <sheetData>
    <row r="1" spans="1:19" x14ac:dyDescent="0.25">
      <c r="A1" s="3"/>
      <c r="B1" s="65" t="s">
        <v>36</v>
      </c>
      <c r="C1" s="65"/>
      <c r="D1" s="65"/>
      <c r="E1" s="65"/>
      <c r="F1" s="65"/>
      <c r="G1" s="58"/>
      <c r="H1" s="31"/>
      <c r="I1" s="32"/>
      <c r="J1" s="65" t="s">
        <v>40</v>
      </c>
      <c r="K1" s="65"/>
      <c r="L1" s="65"/>
      <c r="M1" s="31"/>
      <c r="N1" s="32"/>
      <c r="O1" s="31" t="s">
        <v>41</v>
      </c>
      <c r="P1" s="32"/>
      <c r="Q1" s="31" t="s">
        <v>42</v>
      </c>
      <c r="R1" s="32"/>
      <c r="S1" s="31" t="s">
        <v>43</v>
      </c>
    </row>
    <row r="2" spans="1:19" x14ac:dyDescent="0.25">
      <c r="A2" s="24" t="s">
        <v>31</v>
      </c>
      <c r="B2" s="25" t="s">
        <v>8</v>
      </c>
      <c r="C2" s="25" t="s">
        <v>27</v>
      </c>
      <c r="D2" s="25" t="s">
        <v>28</v>
      </c>
      <c r="E2" s="25" t="s">
        <v>29</v>
      </c>
      <c r="F2" s="25" t="s">
        <v>30</v>
      </c>
      <c r="G2" s="25" t="s">
        <v>85</v>
      </c>
      <c r="H2" s="25" t="s">
        <v>44</v>
      </c>
      <c r="I2" s="26"/>
      <c r="J2" s="27" t="s">
        <v>37</v>
      </c>
      <c r="K2" s="27" t="s">
        <v>38</v>
      </c>
      <c r="L2" s="27" t="s">
        <v>39</v>
      </c>
      <c r="M2" s="27" t="s">
        <v>45</v>
      </c>
      <c r="N2" s="28"/>
      <c r="O2" s="29"/>
      <c r="P2" s="28"/>
      <c r="Q2" s="29"/>
      <c r="R2" s="28"/>
      <c r="S2" s="30"/>
    </row>
    <row r="3" spans="1:19" ht="12" customHeight="1" x14ac:dyDescent="0.25">
      <c r="A3" s="57" t="s">
        <v>0</v>
      </c>
      <c r="B3" s="21">
        <f>'Tareas-notas'!G3</f>
        <v>67.5</v>
      </c>
      <c r="C3" s="6">
        <v>67</v>
      </c>
      <c r="D3" s="6">
        <f>'Tareas-notas'!N3</f>
        <v>89</v>
      </c>
      <c r="E3" s="6">
        <f>'Tareas-notas'!U3</f>
        <v>85.5</v>
      </c>
      <c r="F3" s="6">
        <v>0</v>
      </c>
      <c r="G3" s="6"/>
      <c r="H3" s="6">
        <f>AVERAGE(B3:G3)</f>
        <v>61.8</v>
      </c>
      <c r="I3" s="22"/>
      <c r="J3" s="6">
        <v>100</v>
      </c>
      <c r="K3" s="6">
        <v>0</v>
      </c>
      <c r="L3" s="6"/>
      <c r="M3" s="6">
        <f>AVERAGE(J3:L3)</f>
        <v>50</v>
      </c>
      <c r="N3" s="22"/>
      <c r="O3" s="6">
        <v>85</v>
      </c>
      <c r="P3" s="22"/>
      <c r="Q3" s="23">
        <f>100</f>
        <v>100</v>
      </c>
      <c r="R3" s="22"/>
      <c r="S3" s="23">
        <f>IF(SUM(H3*0.25,M3*0.15,O3*0.6,Q3*0.05)&gt;=100,100,SUM(H3*0.25,M3*0.15,O3*0.6,Q3*0.05))</f>
        <v>78.95</v>
      </c>
    </row>
    <row r="4" spans="1:19" ht="12" customHeight="1" x14ac:dyDescent="0.25">
      <c r="A4" s="57" t="s">
        <v>1</v>
      </c>
      <c r="B4" s="21">
        <f>'Tareas-notas'!G4</f>
        <v>81.5</v>
      </c>
      <c r="C4" s="6">
        <v>67</v>
      </c>
      <c r="D4" s="6">
        <f>'Tareas-notas'!N4</f>
        <v>93</v>
      </c>
      <c r="E4" s="6">
        <f>'Tareas-notas'!U4</f>
        <v>87.5</v>
      </c>
      <c r="F4" s="6">
        <v>50</v>
      </c>
      <c r="G4" s="6"/>
      <c r="H4" s="6">
        <f t="shared" ref="H4:H40" si="0">AVERAGE(B4:G4)</f>
        <v>75.8</v>
      </c>
      <c r="I4" s="22"/>
      <c r="J4" s="6">
        <v>100</v>
      </c>
      <c r="K4" s="6">
        <v>0</v>
      </c>
      <c r="L4" s="6"/>
      <c r="M4" s="6">
        <f t="shared" ref="M4:M39" si="1">AVERAGE(J4:L4)</f>
        <v>50</v>
      </c>
      <c r="N4" s="22"/>
      <c r="O4" s="6">
        <v>84</v>
      </c>
      <c r="P4" s="22"/>
      <c r="Q4" s="23">
        <f>100</f>
        <v>100</v>
      </c>
      <c r="R4" s="22"/>
      <c r="S4" s="23">
        <f t="shared" ref="S4:S39" si="2">IF(SUM(H4*0.25,M4*0.15,O4*0.6,Q4*0.05)&gt;=100,100,SUM(H4*0.25,M4*0.15,O4*0.6,Q4*0.05))</f>
        <v>81.849999999999994</v>
      </c>
    </row>
    <row r="5" spans="1:19" ht="12" customHeight="1" x14ac:dyDescent="0.25">
      <c r="A5" s="57" t="s">
        <v>2</v>
      </c>
      <c r="B5" s="21">
        <f>'Tareas-notas'!G5</f>
        <v>78</v>
      </c>
      <c r="C5" s="6">
        <v>67</v>
      </c>
      <c r="D5" s="6">
        <f>'Tareas-notas'!N5</f>
        <v>81</v>
      </c>
      <c r="E5" s="6">
        <f>'Tareas-notas'!U5</f>
        <v>85.5</v>
      </c>
      <c r="F5" s="6">
        <v>75</v>
      </c>
      <c r="G5" s="6"/>
      <c r="H5" s="6">
        <f t="shared" si="0"/>
        <v>77.3</v>
      </c>
      <c r="I5" s="22"/>
      <c r="J5" s="6">
        <v>0</v>
      </c>
      <c r="K5" s="6">
        <v>0</v>
      </c>
      <c r="L5" s="6"/>
      <c r="M5" s="6">
        <f t="shared" si="1"/>
        <v>0</v>
      </c>
      <c r="N5" s="22"/>
      <c r="O5" s="6">
        <v>83</v>
      </c>
      <c r="P5" s="22"/>
      <c r="Q5" s="23">
        <f>100</f>
        <v>100</v>
      </c>
      <c r="R5" s="22"/>
      <c r="S5" s="23">
        <f t="shared" si="2"/>
        <v>74.125</v>
      </c>
    </row>
    <row r="6" spans="1:19" ht="12" customHeight="1" x14ac:dyDescent="0.25">
      <c r="A6" s="57" t="s">
        <v>70</v>
      </c>
      <c r="B6" s="21">
        <f>'Tareas-notas'!G6</f>
        <v>78.5</v>
      </c>
      <c r="C6" s="6">
        <v>0</v>
      </c>
      <c r="D6" s="6">
        <f>'Tareas-notas'!N6</f>
        <v>78.5</v>
      </c>
      <c r="E6" s="6">
        <f>'Tareas-notas'!U6</f>
        <v>71.5</v>
      </c>
      <c r="F6" s="6">
        <v>25</v>
      </c>
      <c r="G6" s="6"/>
      <c r="H6" s="6">
        <f t="shared" si="0"/>
        <v>50.7</v>
      </c>
      <c r="I6" s="22"/>
      <c r="J6" s="6">
        <v>100</v>
      </c>
      <c r="K6" s="6">
        <v>90</v>
      </c>
      <c r="L6" s="6"/>
      <c r="M6" s="6">
        <f t="shared" si="1"/>
        <v>95</v>
      </c>
      <c r="N6" s="22"/>
      <c r="O6" s="6">
        <v>65</v>
      </c>
      <c r="P6" s="22"/>
      <c r="Q6" s="23">
        <f>100</f>
        <v>100</v>
      </c>
      <c r="R6" s="22"/>
      <c r="S6" s="23">
        <f t="shared" si="2"/>
        <v>70.924999999999997</v>
      </c>
    </row>
    <row r="7" spans="1:19" ht="12" customHeight="1" x14ac:dyDescent="0.25">
      <c r="A7" s="57" t="s">
        <v>4</v>
      </c>
      <c r="B7" s="21">
        <f>'Tareas-notas'!G7</f>
        <v>78</v>
      </c>
      <c r="C7" s="6">
        <v>89</v>
      </c>
      <c r="D7" s="6">
        <f>'Tareas-notas'!N7</f>
        <v>24</v>
      </c>
      <c r="E7" s="6">
        <f>'Tareas-notas'!U7</f>
        <v>76</v>
      </c>
      <c r="F7" s="6">
        <v>50</v>
      </c>
      <c r="G7" s="6"/>
      <c r="H7" s="6">
        <f t="shared" si="0"/>
        <v>63.4</v>
      </c>
      <c r="I7" s="22"/>
      <c r="J7" s="6">
        <v>70</v>
      </c>
      <c r="K7" s="6">
        <v>0</v>
      </c>
      <c r="L7" s="6"/>
      <c r="M7" s="6">
        <f t="shared" si="1"/>
        <v>35</v>
      </c>
      <c r="N7" s="22"/>
      <c r="O7" s="6">
        <v>33</v>
      </c>
      <c r="P7" s="22"/>
      <c r="Q7" s="23">
        <f>100</f>
        <v>100</v>
      </c>
      <c r="R7" s="22"/>
      <c r="S7" s="23">
        <f t="shared" si="2"/>
        <v>45.900000000000006</v>
      </c>
    </row>
    <row r="8" spans="1:19" ht="12" customHeight="1" x14ac:dyDescent="0.25">
      <c r="A8" s="57" t="s">
        <v>5</v>
      </c>
      <c r="B8" s="21">
        <f>'Tareas-notas'!G8</f>
        <v>84.5</v>
      </c>
      <c r="C8" s="6">
        <v>89</v>
      </c>
      <c r="D8" s="6">
        <f>'Tareas-notas'!N8</f>
        <v>93</v>
      </c>
      <c r="E8" s="6">
        <f>'Tareas-notas'!U8</f>
        <v>90</v>
      </c>
      <c r="F8" s="6">
        <v>25</v>
      </c>
      <c r="G8" s="6"/>
      <c r="H8" s="6">
        <f t="shared" si="0"/>
        <v>76.3</v>
      </c>
      <c r="I8" s="22"/>
      <c r="J8" s="6">
        <v>100</v>
      </c>
      <c r="K8" s="6">
        <v>0</v>
      </c>
      <c r="L8" s="6"/>
      <c r="M8" s="6">
        <f t="shared" si="1"/>
        <v>50</v>
      </c>
      <c r="N8" s="22"/>
      <c r="O8" s="6">
        <v>53</v>
      </c>
      <c r="P8" s="22"/>
      <c r="Q8" s="23">
        <f>100</f>
        <v>100</v>
      </c>
      <c r="R8" s="22"/>
      <c r="S8" s="23">
        <f t="shared" si="2"/>
        <v>63.375</v>
      </c>
    </row>
    <row r="9" spans="1:19" ht="12" customHeight="1" x14ac:dyDescent="0.25">
      <c r="A9" s="57" t="s">
        <v>6</v>
      </c>
      <c r="B9" s="21">
        <f>'Tareas-notas'!G9</f>
        <v>93.5</v>
      </c>
      <c r="C9" s="6">
        <v>89</v>
      </c>
      <c r="D9" s="6">
        <f>'Tareas-notas'!N9</f>
        <v>35.5</v>
      </c>
      <c r="E9" s="6">
        <f>'Tareas-notas'!U9</f>
        <v>81</v>
      </c>
      <c r="F9" s="6">
        <v>25</v>
      </c>
      <c r="G9" s="6"/>
      <c r="H9" s="6">
        <f t="shared" si="0"/>
        <v>64.8</v>
      </c>
      <c r="I9" s="22"/>
      <c r="J9" s="6">
        <v>100</v>
      </c>
      <c r="K9" s="6">
        <v>0</v>
      </c>
      <c r="L9" s="6"/>
      <c r="M9" s="6">
        <f t="shared" si="1"/>
        <v>50</v>
      </c>
      <c r="N9" s="22"/>
      <c r="O9" s="6">
        <v>62</v>
      </c>
      <c r="P9" s="22"/>
      <c r="Q9" s="23">
        <f>100</f>
        <v>100</v>
      </c>
      <c r="R9" s="22"/>
      <c r="S9" s="23">
        <f t="shared" si="2"/>
        <v>65.899999999999991</v>
      </c>
    </row>
    <row r="10" spans="1:19" ht="12" customHeight="1" x14ac:dyDescent="0.25">
      <c r="A10" s="57" t="s">
        <v>7</v>
      </c>
      <c r="B10" s="21">
        <f>'Tareas-notas'!G10</f>
        <v>83</v>
      </c>
      <c r="C10" s="6">
        <v>0</v>
      </c>
      <c r="D10" s="6">
        <f>'Tareas-notas'!N10</f>
        <v>93</v>
      </c>
      <c r="E10" s="6">
        <f>'Tareas-notas'!U10</f>
        <v>90</v>
      </c>
      <c r="F10" s="6">
        <v>50</v>
      </c>
      <c r="G10" s="6"/>
      <c r="H10" s="6">
        <f t="shared" si="0"/>
        <v>63.2</v>
      </c>
      <c r="I10" s="22"/>
      <c r="J10" s="6">
        <v>100</v>
      </c>
      <c r="K10" s="6">
        <v>0</v>
      </c>
      <c r="L10" s="6"/>
      <c r="M10" s="6">
        <f t="shared" si="1"/>
        <v>50</v>
      </c>
      <c r="N10" s="22"/>
      <c r="O10" s="6">
        <v>8</v>
      </c>
      <c r="P10" s="22"/>
      <c r="Q10" s="23">
        <f>100</f>
        <v>100</v>
      </c>
      <c r="R10" s="22"/>
      <c r="S10" s="23">
        <f t="shared" si="2"/>
        <v>33.1</v>
      </c>
    </row>
    <row r="11" spans="1:19" ht="12" customHeight="1" x14ac:dyDescent="0.25">
      <c r="A11" s="57" t="s">
        <v>9</v>
      </c>
      <c r="B11" s="21">
        <f>'Tareas-notas'!G11</f>
        <v>88.5</v>
      </c>
      <c r="C11" s="6">
        <v>67</v>
      </c>
      <c r="D11" s="6">
        <f>'Tareas-notas'!N11</f>
        <v>89.5</v>
      </c>
      <c r="E11" s="6">
        <f>'Tareas-notas'!U11</f>
        <v>86</v>
      </c>
      <c r="F11" s="6">
        <v>25</v>
      </c>
      <c r="G11" s="6"/>
      <c r="H11" s="6">
        <f t="shared" si="0"/>
        <v>71.2</v>
      </c>
      <c r="I11" s="22"/>
      <c r="J11" s="6">
        <v>100</v>
      </c>
      <c r="K11" s="6">
        <v>0</v>
      </c>
      <c r="L11" s="6"/>
      <c r="M11" s="6">
        <f t="shared" si="1"/>
        <v>50</v>
      </c>
      <c r="N11" s="22"/>
      <c r="O11" s="6">
        <v>40</v>
      </c>
      <c r="P11" s="22"/>
      <c r="Q11" s="23">
        <f>100</f>
        <v>100</v>
      </c>
      <c r="R11" s="22"/>
      <c r="S11" s="23">
        <f t="shared" si="2"/>
        <v>54.3</v>
      </c>
    </row>
    <row r="12" spans="1:19" ht="12" customHeight="1" x14ac:dyDescent="0.25">
      <c r="A12" s="57" t="s">
        <v>10</v>
      </c>
      <c r="B12" s="21">
        <f>'Tareas-notas'!G12</f>
        <v>84.5</v>
      </c>
      <c r="C12" s="6">
        <v>56</v>
      </c>
      <c r="D12" s="6">
        <f>'Tareas-notas'!N12</f>
        <v>78.5</v>
      </c>
      <c r="E12" s="6">
        <f>'Tareas-notas'!U12</f>
        <v>83.5</v>
      </c>
      <c r="F12" s="6">
        <v>75</v>
      </c>
      <c r="G12" s="6"/>
      <c r="H12" s="6">
        <f t="shared" si="0"/>
        <v>75.5</v>
      </c>
      <c r="I12" s="22"/>
      <c r="J12" s="6">
        <v>100</v>
      </c>
      <c r="K12" s="6">
        <v>0</v>
      </c>
      <c r="L12" s="6"/>
      <c r="M12" s="6">
        <f t="shared" si="1"/>
        <v>50</v>
      </c>
      <c r="N12" s="22"/>
      <c r="O12" s="6">
        <v>23</v>
      </c>
      <c r="P12" s="22"/>
      <c r="Q12" s="23">
        <f>100</f>
        <v>100</v>
      </c>
      <c r="R12" s="22"/>
      <c r="S12" s="23">
        <f t="shared" si="2"/>
        <v>45.174999999999997</v>
      </c>
    </row>
    <row r="13" spans="1:19" ht="12" customHeight="1" x14ac:dyDescent="0.25">
      <c r="A13" s="57" t="s">
        <v>11</v>
      </c>
      <c r="B13" s="21">
        <f>'Tareas-notas'!G13</f>
        <v>75</v>
      </c>
      <c r="C13" s="6">
        <v>0</v>
      </c>
      <c r="D13" s="6">
        <f>'Tareas-notas'!N13</f>
        <v>77.5</v>
      </c>
      <c r="E13" s="6">
        <f>'Tareas-notas'!U13</f>
        <v>86.5</v>
      </c>
      <c r="F13" s="6">
        <v>50</v>
      </c>
      <c r="G13" s="6"/>
      <c r="H13" s="6">
        <f t="shared" si="0"/>
        <v>57.8</v>
      </c>
      <c r="I13" s="22"/>
      <c r="J13" s="6">
        <v>100</v>
      </c>
      <c r="K13" s="6">
        <v>0</v>
      </c>
      <c r="L13" s="6"/>
      <c r="M13" s="6">
        <f t="shared" si="1"/>
        <v>50</v>
      </c>
      <c r="N13" s="22"/>
      <c r="O13" s="6">
        <v>23</v>
      </c>
      <c r="P13" s="22"/>
      <c r="Q13" s="23">
        <f>100</f>
        <v>100</v>
      </c>
      <c r="R13" s="22"/>
      <c r="S13" s="23">
        <f t="shared" si="2"/>
        <v>40.75</v>
      </c>
    </row>
    <row r="14" spans="1:19" ht="12" customHeight="1" x14ac:dyDescent="0.25">
      <c r="A14" s="57" t="s">
        <v>12</v>
      </c>
      <c r="B14" s="21">
        <f>'Tareas-notas'!G14</f>
        <v>0</v>
      </c>
      <c r="C14" s="6">
        <v>0</v>
      </c>
      <c r="D14" s="6">
        <f>'Tareas-notas'!N14</f>
        <v>0</v>
      </c>
      <c r="E14" s="6">
        <f>'Tareas-notas'!U14</f>
        <v>88</v>
      </c>
      <c r="F14" s="6">
        <v>0</v>
      </c>
      <c r="G14" s="6"/>
      <c r="H14" s="6">
        <f t="shared" si="0"/>
        <v>17.600000000000001</v>
      </c>
      <c r="I14" s="22"/>
      <c r="J14" s="6">
        <v>0</v>
      </c>
      <c r="K14" s="6">
        <v>0</v>
      </c>
      <c r="L14" s="6"/>
      <c r="M14" s="6">
        <f t="shared" si="1"/>
        <v>0</v>
      </c>
      <c r="N14" s="22"/>
      <c r="O14" s="6">
        <v>25</v>
      </c>
      <c r="P14" s="22"/>
      <c r="Q14" s="23">
        <f>100</f>
        <v>100</v>
      </c>
      <c r="R14" s="22"/>
      <c r="S14" s="23">
        <f t="shared" si="2"/>
        <v>24.4</v>
      </c>
    </row>
    <row r="15" spans="1:19" ht="12" customHeight="1" x14ac:dyDescent="0.25">
      <c r="A15" s="57" t="s">
        <v>13</v>
      </c>
      <c r="B15" s="21">
        <f>'Tareas-notas'!G15</f>
        <v>85</v>
      </c>
      <c r="C15" s="6">
        <v>33</v>
      </c>
      <c r="D15" s="6">
        <f>'Tareas-notas'!N15</f>
        <v>90</v>
      </c>
      <c r="E15" s="6">
        <f>'Tareas-notas'!U15</f>
        <v>87</v>
      </c>
      <c r="F15" s="6">
        <v>0</v>
      </c>
      <c r="G15" s="6"/>
      <c r="H15" s="6">
        <f t="shared" si="0"/>
        <v>59</v>
      </c>
      <c r="I15" s="22"/>
      <c r="J15" s="6">
        <v>0</v>
      </c>
      <c r="K15" s="6">
        <v>90</v>
      </c>
      <c r="L15" s="6"/>
      <c r="M15" s="6">
        <f t="shared" si="1"/>
        <v>45</v>
      </c>
      <c r="N15" s="22"/>
      <c r="O15" s="6">
        <v>64</v>
      </c>
      <c r="P15" s="22"/>
      <c r="Q15" s="23">
        <f>100</f>
        <v>100</v>
      </c>
      <c r="R15" s="22"/>
      <c r="S15" s="23">
        <f t="shared" si="2"/>
        <v>64.900000000000006</v>
      </c>
    </row>
    <row r="16" spans="1:19" ht="12" customHeight="1" x14ac:dyDescent="0.25">
      <c r="A16" s="57" t="s">
        <v>14</v>
      </c>
      <c r="B16" s="21">
        <f>'Tareas-notas'!G16</f>
        <v>80.5</v>
      </c>
      <c r="C16" s="6">
        <v>100</v>
      </c>
      <c r="D16" s="6">
        <f>'Tareas-notas'!N16</f>
        <v>92.5</v>
      </c>
      <c r="E16" s="6">
        <f>'Tareas-notas'!U16</f>
        <v>84</v>
      </c>
      <c r="F16" s="6">
        <v>50</v>
      </c>
      <c r="G16" s="6"/>
      <c r="H16" s="6">
        <f t="shared" si="0"/>
        <v>81.400000000000006</v>
      </c>
      <c r="I16" s="22"/>
      <c r="J16" s="6">
        <v>70</v>
      </c>
      <c r="K16" s="6">
        <v>0</v>
      </c>
      <c r="L16" s="6"/>
      <c r="M16" s="6">
        <f t="shared" si="1"/>
        <v>35</v>
      </c>
      <c r="N16" s="22"/>
      <c r="O16" s="6">
        <v>24</v>
      </c>
      <c r="P16" s="22"/>
      <c r="Q16" s="23">
        <f>100</f>
        <v>100</v>
      </c>
      <c r="R16" s="22"/>
      <c r="S16" s="23">
        <f t="shared" si="2"/>
        <v>45</v>
      </c>
    </row>
    <row r="17" spans="1:19" ht="12" customHeight="1" x14ac:dyDescent="0.25">
      <c r="A17" s="57" t="s">
        <v>15</v>
      </c>
      <c r="B17" s="21">
        <f>'Tareas-notas'!G17</f>
        <v>93</v>
      </c>
      <c r="C17" s="6">
        <v>0</v>
      </c>
      <c r="D17" s="6">
        <f>'Tareas-notas'!N17</f>
        <v>93</v>
      </c>
      <c r="E17" s="6">
        <f>'Tareas-notas'!U17</f>
        <v>87</v>
      </c>
      <c r="F17" s="6">
        <v>50</v>
      </c>
      <c r="G17" s="6"/>
      <c r="H17" s="6">
        <f t="shared" si="0"/>
        <v>64.599999999999994</v>
      </c>
      <c r="I17" s="22"/>
      <c r="J17" s="6">
        <v>0</v>
      </c>
      <c r="K17" s="6">
        <v>0</v>
      </c>
      <c r="L17" s="6"/>
      <c r="M17" s="6">
        <f t="shared" si="1"/>
        <v>0</v>
      </c>
      <c r="N17" s="22"/>
      <c r="O17" s="6">
        <v>3</v>
      </c>
      <c r="P17" s="22"/>
      <c r="Q17" s="23">
        <f>100</f>
        <v>100</v>
      </c>
      <c r="R17" s="22"/>
      <c r="S17" s="23">
        <f t="shared" si="2"/>
        <v>22.95</v>
      </c>
    </row>
    <row r="18" spans="1:19" ht="12" customHeight="1" x14ac:dyDescent="0.25">
      <c r="A18" s="57" t="s">
        <v>16</v>
      </c>
      <c r="B18" s="21">
        <f>'Tareas-notas'!G18</f>
        <v>95</v>
      </c>
      <c r="C18" s="6">
        <v>89</v>
      </c>
      <c r="D18" s="6">
        <f>'Tareas-notas'!N18</f>
        <v>94.5</v>
      </c>
      <c r="E18" s="6">
        <f>'Tareas-notas'!U18</f>
        <v>90.5</v>
      </c>
      <c r="F18" s="6">
        <v>100</v>
      </c>
      <c r="G18" s="6"/>
      <c r="H18" s="6">
        <f t="shared" si="0"/>
        <v>93.8</v>
      </c>
      <c r="I18" s="22"/>
      <c r="J18" s="6">
        <v>100</v>
      </c>
      <c r="K18" s="6">
        <v>0</v>
      </c>
      <c r="L18" s="6"/>
      <c r="M18" s="6">
        <f t="shared" si="1"/>
        <v>50</v>
      </c>
      <c r="N18" s="22"/>
      <c r="O18" s="6">
        <v>63</v>
      </c>
      <c r="P18" s="22"/>
      <c r="Q18" s="23">
        <f>100</f>
        <v>100</v>
      </c>
      <c r="R18" s="22"/>
      <c r="S18" s="23">
        <f t="shared" si="2"/>
        <v>73.75</v>
      </c>
    </row>
    <row r="19" spans="1:19" ht="12" customHeight="1" x14ac:dyDescent="0.25">
      <c r="A19" s="57" t="s">
        <v>17</v>
      </c>
      <c r="B19" s="21">
        <f>'Tareas-notas'!G19</f>
        <v>77</v>
      </c>
      <c r="C19" s="6">
        <v>67</v>
      </c>
      <c r="D19" s="6">
        <f>'Tareas-notas'!N19</f>
        <v>90.5</v>
      </c>
      <c r="E19" s="6">
        <f>'Tareas-notas'!U19</f>
        <v>90.5</v>
      </c>
      <c r="F19" s="6">
        <v>90</v>
      </c>
      <c r="G19" s="6"/>
      <c r="H19" s="6">
        <f t="shared" si="0"/>
        <v>83</v>
      </c>
      <c r="I19" s="22"/>
      <c r="J19" s="6">
        <v>70</v>
      </c>
      <c r="K19" s="6">
        <v>0</v>
      </c>
      <c r="L19" s="6"/>
      <c r="M19" s="6">
        <f t="shared" si="1"/>
        <v>35</v>
      </c>
      <c r="N19" s="22"/>
      <c r="O19" s="6">
        <v>39</v>
      </c>
      <c r="P19" s="22"/>
      <c r="Q19" s="23">
        <f>100</f>
        <v>100</v>
      </c>
      <c r="R19" s="22"/>
      <c r="S19" s="23">
        <f t="shared" si="2"/>
        <v>54.4</v>
      </c>
    </row>
    <row r="20" spans="1:19" ht="12" customHeight="1" x14ac:dyDescent="0.25">
      <c r="A20" s="57" t="s">
        <v>60</v>
      </c>
      <c r="B20" s="21">
        <f>'Tareas-notas'!G20</f>
        <v>76.5</v>
      </c>
      <c r="C20" s="6">
        <v>0</v>
      </c>
      <c r="D20" s="6">
        <f>'Tareas-notas'!N20</f>
        <v>95</v>
      </c>
      <c r="E20" s="6">
        <f>'Tareas-notas'!U20</f>
        <v>91</v>
      </c>
      <c r="F20" s="6">
        <v>0</v>
      </c>
      <c r="G20" s="6"/>
      <c r="H20" s="6">
        <f t="shared" si="0"/>
        <v>52.5</v>
      </c>
      <c r="I20" s="22"/>
      <c r="J20" s="6">
        <v>100</v>
      </c>
      <c r="K20" s="6">
        <v>90</v>
      </c>
      <c r="L20" s="6"/>
      <c r="M20" s="6">
        <f t="shared" si="1"/>
        <v>95</v>
      </c>
      <c r="N20" s="22"/>
      <c r="O20" s="6">
        <v>22</v>
      </c>
      <c r="P20" s="22"/>
      <c r="Q20" s="23">
        <f>100</f>
        <v>100</v>
      </c>
      <c r="R20" s="22"/>
      <c r="S20" s="23">
        <f t="shared" si="2"/>
        <v>45.575000000000003</v>
      </c>
    </row>
    <row r="21" spans="1:19" ht="12" customHeight="1" x14ac:dyDescent="0.25">
      <c r="A21" s="57" t="s">
        <v>18</v>
      </c>
      <c r="B21" s="21">
        <f>'Tareas-notas'!G21</f>
        <v>81</v>
      </c>
      <c r="C21" s="6">
        <v>62</v>
      </c>
      <c r="D21" s="6">
        <f>'Tareas-notas'!N21</f>
        <v>89</v>
      </c>
      <c r="E21" s="6">
        <f>'Tareas-notas'!U21</f>
        <v>92</v>
      </c>
      <c r="F21" s="6">
        <v>100</v>
      </c>
      <c r="G21" s="6"/>
      <c r="H21" s="6">
        <f t="shared" si="0"/>
        <v>84.8</v>
      </c>
      <c r="I21" s="22"/>
      <c r="J21" s="6">
        <v>70</v>
      </c>
      <c r="K21" s="6">
        <v>0</v>
      </c>
      <c r="L21" s="6"/>
      <c r="M21" s="6">
        <f t="shared" si="1"/>
        <v>35</v>
      </c>
      <c r="N21" s="22"/>
      <c r="O21" s="6">
        <v>55</v>
      </c>
      <c r="P21" s="22"/>
      <c r="Q21" s="23">
        <f>100</f>
        <v>100</v>
      </c>
      <c r="R21" s="22"/>
      <c r="S21" s="23">
        <f t="shared" si="2"/>
        <v>64.45</v>
      </c>
    </row>
    <row r="22" spans="1:19" ht="12" customHeight="1" x14ac:dyDescent="0.25">
      <c r="A22" s="57" t="s">
        <v>19</v>
      </c>
      <c r="B22" s="21">
        <f>'Tareas-notas'!G22</f>
        <v>93</v>
      </c>
      <c r="C22" s="6">
        <v>100</v>
      </c>
      <c r="D22" s="6">
        <f>'Tareas-notas'!N22</f>
        <v>93.5</v>
      </c>
      <c r="E22" s="6">
        <f>'Tareas-notas'!U22</f>
        <v>89.5</v>
      </c>
      <c r="F22" s="6">
        <v>70</v>
      </c>
      <c r="G22" s="6"/>
      <c r="H22" s="6">
        <f t="shared" si="0"/>
        <v>89.2</v>
      </c>
      <c r="I22" s="22"/>
      <c r="J22" s="6">
        <v>100</v>
      </c>
      <c r="K22" s="6">
        <v>0</v>
      </c>
      <c r="L22" s="6"/>
      <c r="M22" s="6">
        <f t="shared" si="1"/>
        <v>50</v>
      </c>
      <c r="N22" s="22"/>
      <c r="O22" s="6">
        <v>63</v>
      </c>
      <c r="P22" s="22"/>
      <c r="Q22" s="23">
        <f>100</f>
        <v>100</v>
      </c>
      <c r="R22" s="22"/>
      <c r="S22" s="23">
        <f t="shared" si="2"/>
        <v>72.599999999999994</v>
      </c>
    </row>
    <row r="23" spans="1:19" ht="12" customHeight="1" x14ac:dyDescent="0.25">
      <c r="A23" s="57" t="s">
        <v>20</v>
      </c>
      <c r="B23" s="21">
        <f>'Tareas-notas'!G23</f>
        <v>52</v>
      </c>
      <c r="C23" s="6">
        <v>100</v>
      </c>
      <c r="D23" s="6">
        <f>'Tareas-notas'!N23</f>
        <v>89</v>
      </c>
      <c r="E23" s="6">
        <f>'Tareas-notas'!U23</f>
        <v>73</v>
      </c>
      <c r="F23" s="6">
        <v>65</v>
      </c>
      <c r="G23" s="6"/>
      <c r="H23" s="6">
        <f t="shared" si="0"/>
        <v>75.8</v>
      </c>
      <c r="I23" s="22"/>
      <c r="J23" s="6">
        <v>70</v>
      </c>
      <c r="K23" s="6">
        <v>0</v>
      </c>
      <c r="L23" s="6"/>
      <c r="M23" s="6">
        <f t="shared" si="1"/>
        <v>35</v>
      </c>
      <c r="N23" s="22"/>
      <c r="O23" s="6">
        <v>55</v>
      </c>
      <c r="P23" s="22"/>
      <c r="Q23" s="23">
        <f>100</f>
        <v>100</v>
      </c>
      <c r="R23" s="22"/>
      <c r="S23" s="23">
        <f t="shared" si="2"/>
        <v>62.2</v>
      </c>
    </row>
    <row r="24" spans="1:19" ht="12" customHeight="1" x14ac:dyDescent="0.25">
      <c r="A24" s="57" t="s">
        <v>21</v>
      </c>
      <c r="B24" s="21">
        <f>'Tareas-notas'!G24</f>
        <v>89</v>
      </c>
      <c r="C24" s="6">
        <v>89</v>
      </c>
      <c r="D24" s="6">
        <f>'Tareas-notas'!N24</f>
        <v>92.5</v>
      </c>
      <c r="E24" s="6">
        <f>'Tareas-notas'!U24</f>
        <v>89</v>
      </c>
      <c r="F24" s="6">
        <v>100</v>
      </c>
      <c r="G24" s="6"/>
      <c r="H24" s="6">
        <f t="shared" si="0"/>
        <v>91.9</v>
      </c>
      <c r="I24" s="22"/>
      <c r="J24" s="6">
        <v>100</v>
      </c>
      <c r="K24" s="6">
        <v>90</v>
      </c>
      <c r="L24" s="6"/>
      <c r="M24" s="6">
        <f t="shared" si="1"/>
        <v>95</v>
      </c>
      <c r="N24" s="22"/>
      <c r="O24" s="6">
        <v>78</v>
      </c>
      <c r="P24" s="22"/>
      <c r="Q24" s="23">
        <f>100</f>
        <v>100</v>
      </c>
      <c r="R24" s="22"/>
      <c r="S24" s="23">
        <f t="shared" si="2"/>
        <v>89.025000000000006</v>
      </c>
    </row>
    <row r="25" spans="1:19" ht="12" customHeight="1" x14ac:dyDescent="0.25">
      <c r="A25" s="57" t="s">
        <v>22</v>
      </c>
      <c r="B25" s="21">
        <f>'Tareas-notas'!G25</f>
        <v>80.5</v>
      </c>
      <c r="C25" s="6">
        <v>100</v>
      </c>
      <c r="D25" s="6">
        <f>'Tareas-notas'!N25</f>
        <v>92</v>
      </c>
      <c r="E25" s="6">
        <f>'Tareas-notas'!U25</f>
        <v>90</v>
      </c>
      <c r="F25" s="6">
        <v>65</v>
      </c>
      <c r="G25" s="6"/>
      <c r="H25" s="6">
        <f t="shared" si="0"/>
        <v>85.5</v>
      </c>
      <c r="I25" s="22"/>
      <c r="J25" s="6">
        <v>100</v>
      </c>
      <c r="K25" s="6">
        <v>0</v>
      </c>
      <c r="L25" s="6"/>
      <c r="M25" s="6">
        <f t="shared" si="1"/>
        <v>50</v>
      </c>
      <c r="N25" s="22"/>
      <c r="O25" s="6">
        <v>39</v>
      </c>
      <c r="P25" s="22"/>
      <c r="Q25" s="23">
        <f>100</f>
        <v>100</v>
      </c>
      <c r="R25" s="22"/>
      <c r="S25" s="23">
        <f t="shared" si="2"/>
        <v>57.274999999999999</v>
      </c>
    </row>
    <row r="26" spans="1:19" ht="12" customHeight="1" x14ac:dyDescent="0.25">
      <c r="A26" s="57" t="s">
        <v>23</v>
      </c>
      <c r="B26" s="21">
        <f>'Tareas-notas'!G26</f>
        <v>91.5</v>
      </c>
      <c r="C26" s="6">
        <v>89</v>
      </c>
      <c r="D26" s="6">
        <f>'Tareas-notas'!N26</f>
        <v>79.5</v>
      </c>
      <c r="E26" s="6">
        <f>'Tareas-notas'!U26</f>
        <v>91</v>
      </c>
      <c r="F26" s="6">
        <v>100</v>
      </c>
      <c r="G26" s="6"/>
      <c r="H26" s="6">
        <f t="shared" si="0"/>
        <v>90.2</v>
      </c>
      <c r="I26" s="22"/>
      <c r="J26" s="6">
        <v>100</v>
      </c>
      <c r="K26" s="6">
        <v>90</v>
      </c>
      <c r="L26" s="6"/>
      <c r="M26" s="6">
        <f t="shared" si="1"/>
        <v>95</v>
      </c>
      <c r="N26" s="22"/>
      <c r="O26" s="6">
        <v>33</v>
      </c>
      <c r="P26" s="22"/>
      <c r="Q26" s="23">
        <f>100</f>
        <v>100</v>
      </c>
      <c r="R26" s="22"/>
      <c r="S26" s="23">
        <f t="shared" si="2"/>
        <v>61.599999999999994</v>
      </c>
    </row>
    <row r="27" spans="1:19" ht="12" customHeight="1" x14ac:dyDescent="0.25">
      <c r="A27" s="57" t="s">
        <v>71</v>
      </c>
      <c r="B27" s="21">
        <f>'Tareas-notas'!G27</f>
        <v>80.5</v>
      </c>
      <c r="C27" s="6">
        <v>78</v>
      </c>
      <c r="D27" s="6">
        <f>'Tareas-notas'!N27</f>
        <v>77</v>
      </c>
      <c r="E27" s="6">
        <f>'Tareas-notas'!U27</f>
        <v>80</v>
      </c>
      <c r="F27" s="6">
        <v>25</v>
      </c>
      <c r="G27" s="6"/>
      <c r="H27" s="6">
        <f t="shared" si="0"/>
        <v>68.099999999999994</v>
      </c>
      <c r="I27" s="22"/>
      <c r="J27" s="6">
        <v>70</v>
      </c>
      <c r="K27" s="6">
        <v>0</v>
      </c>
      <c r="L27" s="6"/>
      <c r="M27" s="6">
        <f t="shared" si="1"/>
        <v>35</v>
      </c>
      <c r="N27" s="22"/>
      <c r="O27" s="6">
        <v>48</v>
      </c>
      <c r="P27" s="22"/>
      <c r="Q27" s="23">
        <f>100</f>
        <v>100</v>
      </c>
      <c r="R27" s="22"/>
      <c r="S27" s="23">
        <f t="shared" si="2"/>
        <v>56.074999999999996</v>
      </c>
    </row>
    <row r="28" spans="1:19" ht="12" customHeight="1" x14ac:dyDescent="0.25">
      <c r="A28" s="57" t="s">
        <v>59</v>
      </c>
      <c r="B28" s="21">
        <f>'Tareas-notas'!G28</f>
        <v>89.5</v>
      </c>
      <c r="C28" s="6">
        <v>0</v>
      </c>
      <c r="D28" s="6">
        <f>'Tareas-notas'!N28</f>
        <v>80</v>
      </c>
      <c r="E28" s="6">
        <f>'Tareas-notas'!U28</f>
        <v>80</v>
      </c>
      <c r="F28" s="6">
        <v>50</v>
      </c>
      <c r="G28" s="6"/>
      <c r="H28" s="6">
        <f t="shared" si="0"/>
        <v>59.9</v>
      </c>
      <c r="I28" s="22"/>
      <c r="J28" s="6">
        <v>100</v>
      </c>
      <c r="K28" s="6">
        <v>0</v>
      </c>
      <c r="L28" s="6"/>
      <c r="M28" s="6">
        <f t="shared" si="1"/>
        <v>50</v>
      </c>
      <c r="N28" s="22"/>
      <c r="O28" s="6">
        <v>39</v>
      </c>
      <c r="P28" s="22"/>
      <c r="Q28" s="23">
        <f>100</f>
        <v>100</v>
      </c>
      <c r="R28" s="22"/>
      <c r="S28" s="23">
        <f t="shared" si="2"/>
        <v>50.875</v>
      </c>
    </row>
    <row r="29" spans="1:19" ht="12" customHeight="1" x14ac:dyDescent="0.25">
      <c r="A29" s="57" t="s">
        <v>26</v>
      </c>
      <c r="B29" s="21">
        <f>'Tareas-notas'!G29</f>
        <v>80.5</v>
      </c>
      <c r="C29" s="6">
        <v>67</v>
      </c>
      <c r="D29" s="6">
        <f>'Tareas-notas'!N29</f>
        <v>89.5</v>
      </c>
      <c r="E29" s="6">
        <f>'Tareas-notas'!U29</f>
        <v>83.5</v>
      </c>
      <c r="F29" s="6">
        <v>50</v>
      </c>
      <c r="G29" s="6"/>
      <c r="H29" s="6">
        <f t="shared" si="0"/>
        <v>74.099999999999994</v>
      </c>
      <c r="I29" s="22"/>
      <c r="J29" s="6">
        <v>100</v>
      </c>
      <c r="K29" s="6">
        <v>0</v>
      </c>
      <c r="L29" s="6"/>
      <c r="M29" s="6">
        <f t="shared" si="1"/>
        <v>50</v>
      </c>
      <c r="N29" s="22"/>
      <c r="O29" s="6">
        <v>78</v>
      </c>
      <c r="P29" s="22"/>
      <c r="Q29" s="23">
        <f>100</f>
        <v>100</v>
      </c>
      <c r="R29" s="22"/>
      <c r="S29" s="23">
        <f t="shared" si="2"/>
        <v>77.824999999999989</v>
      </c>
    </row>
    <row r="30" spans="1:19" ht="12" customHeight="1" x14ac:dyDescent="0.25">
      <c r="A30" s="57" t="s">
        <v>32</v>
      </c>
      <c r="B30" s="21">
        <f>'Tareas-notas'!G30</f>
        <v>75</v>
      </c>
      <c r="C30" s="6">
        <v>89</v>
      </c>
      <c r="D30" s="6">
        <f>'Tareas-notas'!N30</f>
        <v>78</v>
      </c>
      <c r="E30" s="6">
        <f>'Tareas-notas'!U30</f>
        <v>86.5</v>
      </c>
      <c r="F30" s="6">
        <v>100</v>
      </c>
      <c r="G30" s="6"/>
      <c r="H30" s="6">
        <f t="shared" si="0"/>
        <v>85.7</v>
      </c>
      <c r="I30" s="22"/>
      <c r="J30" s="6">
        <v>100</v>
      </c>
      <c r="K30" s="6">
        <v>0</v>
      </c>
      <c r="L30" s="6"/>
      <c r="M30" s="6">
        <f t="shared" si="1"/>
        <v>50</v>
      </c>
      <c r="N30" s="22"/>
      <c r="O30" s="6">
        <v>91</v>
      </c>
      <c r="P30" s="22"/>
      <c r="Q30" s="23">
        <f>100</f>
        <v>100</v>
      </c>
      <c r="R30" s="22"/>
      <c r="S30" s="23">
        <f t="shared" si="2"/>
        <v>88.525000000000006</v>
      </c>
    </row>
    <row r="31" spans="1:19" ht="12" customHeight="1" x14ac:dyDescent="0.25">
      <c r="A31" s="57" t="s">
        <v>48</v>
      </c>
      <c r="B31" s="21">
        <f>'Tareas-notas'!G31</f>
        <v>80.5</v>
      </c>
      <c r="C31" s="6">
        <v>89</v>
      </c>
      <c r="D31" s="6">
        <f>'Tareas-notas'!N31</f>
        <v>93.5</v>
      </c>
      <c r="E31" s="6">
        <f>'Tareas-notas'!U31</f>
        <v>94</v>
      </c>
      <c r="F31" s="6">
        <v>100</v>
      </c>
      <c r="G31" s="6"/>
      <c r="H31" s="6">
        <f t="shared" si="0"/>
        <v>91.4</v>
      </c>
      <c r="I31" s="22"/>
      <c r="J31" s="6">
        <v>100</v>
      </c>
      <c r="K31" s="6">
        <v>90</v>
      </c>
      <c r="L31" s="6"/>
      <c r="M31" s="6">
        <f t="shared" si="1"/>
        <v>95</v>
      </c>
      <c r="N31" s="22"/>
      <c r="O31" s="6">
        <v>85</v>
      </c>
      <c r="P31" s="22"/>
      <c r="Q31" s="23">
        <f>100</f>
        <v>100</v>
      </c>
      <c r="R31" s="22"/>
      <c r="S31" s="23">
        <f t="shared" si="2"/>
        <v>93.1</v>
      </c>
    </row>
    <row r="32" spans="1:19" ht="12" customHeight="1" x14ac:dyDescent="0.25">
      <c r="A32" s="57" t="s">
        <v>49</v>
      </c>
      <c r="B32" s="21">
        <f>'Tareas-notas'!G32</f>
        <v>68</v>
      </c>
      <c r="C32" s="6">
        <v>89</v>
      </c>
      <c r="D32" s="6">
        <f>'Tareas-notas'!N32</f>
        <v>80</v>
      </c>
      <c r="E32" s="6">
        <f>'Tareas-notas'!U32</f>
        <v>88</v>
      </c>
      <c r="F32" s="6">
        <v>50</v>
      </c>
      <c r="G32" s="6"/>
      <c r="H32" s="6">
        <f t="shared" si="0"/>
        <v>75</v>
      </c>
      <c r="I32" s="22"/>
      <c r="J32" s="6">
        <v>100</v>
      </c>
      <c r="K32" s="6">
        <v>0</v>
      </c>
      <c r="L32" s="6"/>
      <c r="M32" s="6">
        <f t="shared" si="1"/>
        <v>50</v>
      </c>
      <c r="N32" s="22"/>
      <c r="O32" s="6">
        <v>44</v>
      </c>
      <c r="P32" s="22"/>
      <c r="Q32" s="23">
        <f>100</f>
        <v>100</v>
      </c>
      <c r="R32" s="22"/>
      <c r="S32" s="23">
        <f t="shared" si="2"/>
        <v>57.65</v>
      </c>
    </row>
    <row r="33" spans="1:19" ht="12" customHeight="1" x14ac:dyDescent="0.25">
      <c r="A33" s="57" t="s">
        <v>50</v>
      </c>
      <c r="B33" s="21">
        <f>'Tareas-notas'!G33</f>
        <v>85</v>
      </c>
      <c r="C33" s="6">
        <v>0</v>
      </c>
      <c r="D33" s="6">
        <f>'Tareas-notas'!N33</f>
        <v>77.5</v>
      </c>
      <c r="E33" s="6">
        <f>'Tareas-notas'!U33</f>
        <v>85.5</v>
      </c>
      <c r="F33" s="6">
        <v>25</v>
      </c>
      <c r="G33" s="6"/>
      <c r="H33" s="6">
        <f t="shared" si="0"/>
        <v>54.6</v>
      </c>
      <c r="I33" s="22"/>
      <c r="J33" s="6">
        <v>70</v>
      </c>
      <c r="K33" s="6">
        <v>0</v>
      </c>
      <c r="L33" s="6"/>
      <c r="M33" s="6">
        <f t="shared" si="1"/>
        <v>35</v>
      </c>
      <c r="N33" s="22"/>
      <c r="O33" s="6">
        <v>3</v>
      </c>
      <c r="P33" s="22"/>
      <c r="Q33" s="23">
        <f>100</f>
        <v>100</v>
      </c>
      <c r="R33" s="22"/>
      <c r="S33" s="23">
        <f t="shared" si="2"/>
        <v>25.7</v>
      </c>
    </row>
    <row r="34" spans="1:19" ht="12" customHeight="1" x14ac:dyDescent="0.25">
      <c r="A34" s="57" t="s">
        <v>51</v>
      </c>
      <c r="B34" s="21">
        <f>'Tareas-notas'!G34</f>
        <v>81</v>
      </c>
      <c r="C34" s="6">
        <v>89</v>
      </c>
      <c r="D34" s="6">
        <f>'Tareas-notas'!N34</f>
        <v>81</v>
      </c>
      <c r="E34" s="6">
        <f>'Tareas-notas'!U34</f>
        <v>84</v>
      </c>
      <c r="F34" s="6">
        <v>100</v>
      </c>
      <c r="G34" s="6"/>
      <c r="H34" s="6">
        <f t="shared" si="0"/>
        <v>87</v>
      </c>
      <c r="I34" s="22"/>
      <c r="J34" s="6">
        <v>70</v>
      </c>
      <c r="K34" s="6">
        <v>0</v>
      </c>
      <c r="L34" s="6"/>
      <c r="M34" s="6">
        <f t="shared" si="1"/>
        <v>35</v>
      </c>
      <c r="N34" s="22"/>
      <c r="O34" s="6">
        <v>37</v>
      </c>
      <c r="P34" s="22"/>
      <c r="Q34" s="23">
        <f>100</f>
        <v>100</v>
      </c>
      <c r="R34" s="22"/>
      <c r="S34" s="23">
        <f t="shared" si="2"/>
        <v>54.2</v>
      </c>
    </row>
    <row r="35" spans="1:19" ht="12" customHeight="1" x14ac:dyDescent="0.25">
      <c r="A35" s="57" t="s">
        <v>52</v>
      </c>
      <c r="B35" s="21">
        <f>'Tareas-notas'!G35</f>
        <v>0</v>
      </c>
      <c r="C35" s="6">
        <v>0</v>
      </c>
      <c r="D35" s="6">
        <f>'Tareas-notas'!N35</f>
        <v>0</v>
      </c>
      <c r="E35" s="6">
        <f>'Tareas-notas'!U35</f>
        <v>0</v>
      </c>
      <c r="F35" s="6">
        <v>0</v>
      </c>
      <c r="G35" s="6"/>
      <c r="H35" s="6">
        <f t="shared" si="0"/>
        <v>0</v>
      </c>
      <c r="I35" s="22"/>
      <c r="J35" s="6">
        <v>0</v>
      </c>
      <c r="K35" s="6">
        <v>90</v>
      </c>
      <c r="L35" s="6"/>
      <c r="M35" s="6">
        <f t="shared" si="1"/>
        <v>45</v>
      </c>
      <c r="N35" s="22"/>
      <c r="O35" s="6">
        <v>0</v>
      </c>
      <c r="P35" s="22"/>
      <c r="Q35" s="23">
        <f>100</f>
        <v>100</v>
      </c>
      <c r="R35" s="22"/>
      <c r="S35" s="23">
        <f t="shared" si="2"/>
        <v>11.75</v>
      </c>
    </row>
    <row r="36" spans="1:19" ht="12" customHeight="1" x14ac:dyDescent="0.25">
      <c r="A36" s="57" t="s">
        <v>62</v>
      </c>
      <c r="B36" s="21">
        <f>'Tareas-notas'!G36</f>
        <v>75.5</v>
      </c>
      <c r="C36" s="6">
        <v>0</v>
      </c>
      <c r="D36" s="6">
        <f>'Tareas-notas'!N36</f>
        <v>24</v>
      </c>
      <c r="E36" s="6">
        <f>'Tareas-notas'!U36</f>
        <v>63</v>
      </c>
      <c r="F36" s="6">
        <v>25</v>
      </c>
      <c r="G36" s="6"/>
      <c r="H36" s="6">
        <f t="shared" si="0"/>
        <v>37.5</v>
      </c>
      <c r="I36" s="22"/>
      <c r="J36" s="6">
        <v>0</v>
      </c>
      <c r="K36" s="6">
        <v>0</v>
      </c>
      <c r="L36" s="6"/>
      <c r="M36" s="6">
        <f t="shared" si="1"/>
        <v>0</v>
      </c>
      <c r="N36" s="22"/>
      <c r="O36" s="6">
        <v>45</v>
      </c>
      <c r="P36" s="22"/>
      <c r="Q36" s="23">
        <f>100</f>
        <v>100</v>
      </c>
      <c r="R36" s="22"/>
      <c r="S36" s="23">
        <f t="shared" si="2"/>
        <v>41.375</v>
      </c>
    </row>
    <row r="37" spans="1:19" ht="12" customHeight="1" x14ac:dyDescent="0.25">
      <c r="A37" s="57" t="s">
        <v>69</v>
      </c>
      <c r="B37" s="21">
        <f>'Tareas-notas'!G37</f>
        <v>0</v>
      </c>
      <c r="C37" s="6">
        <v>0</v>
      </c>
      <c r="D37" s="6">
        <f>'Tareas-notas'!N37</f>
        <v>0</v>
      </c>
      <c r="E37" s="6">
        <f>'Tareas-notas'!U37</f>
        <v>0</v>
      </c>
      <c r="F37" s="6">
        <v>0</v>
      </c>
      <c r="G37" s="6"/>
      <c r="H37" s="6">
        <f t="shared" si="0"/>
        <v>0</v>
      </c>
      <c r="I37" s="22"/>
      <c r="J37" s="6">
        <v>0</v>
      </c>
      <c r="K37" s="6">
        <v>0</v>
      </c>
      <c r="L37" s="6"/>
      <c r="M37" s="6">
        <f t="shared" si="1"/>
        <v>0</v>
      </c>
      <c r="N37" s="22"/>
      <c r="O37" s="6">
        <v>10</v>
      </c>
      <c r="P37" s="22"/>
      <c r="Q37" s="23">
        <f>100</f>
        <v>100</v>
      </c>
      <c r="R37" s="22"/>
      <c r="S37" s="23">
        <f t="shared" si="2"/>
        <v>11</v>
      </c>
    </row>
    <row r="38" spans="1:19" ht="12" customHeight="1" x14ac:dyDescent="0.25">
      <c r="A38" s="57" t="s">
        <v>72</v>
      </c>
      <c r="B38" s="21">
        <f>'Tareas-notas'!G38</f>
        <v>79</v>
      </c>
      <c r="C38" s="6">
        <v>0</v>
      </c>
      <c r="D38" s="6">
        <f>'Tareas-notas'!N38</f>
        <v>67</v>
      </c>
      <c r="E38" s="6">
        <f>'Tareas-notas'!U38</f>
        <v>57</v>
      </c>
      <c r="F38" s="6">
        <v>0</v>
      </c>
      <c r="G38" s="6"/>
      <c r="H38" s="6">
        <f t="shared" si="0"/>
        <v>40.6</v>
      </c>
      <c r="I38" s="22"/>
      <c r="J38" s="6">
        <v>0</v>
      </c>
      <c r="K38" s="6">
        <v>0</v>
      </c>
      <c r="L38" s="6"/>
      <c r="M38" s="6">
        <f t="shared" si="1"/>
        <v>0</v>
      </c>
      <c r="N38" s="22"/>
      <c r="O38" s="6">
        <v>23</v>
      </c>
      <c r="P38" s="22"/>
      <c r="Q38" s="23">
        <f>100</f>
        <v>100</v>
      </c>
      <c r="R38" s="22"/>
      <c r="S38" s="23">
        <f t="shared" si="2"/>
        <v>28.95</v>
      </c>
    </row>
    <row r="39" spans="1:19" ht="12" customHeight="1" x14ac:dyDescent="0.25">
      <c r="A39" s="57" t="s">
        <v>73</v>
      </c>
      <c r="B39" s="21">
        <f>'Tareas-notas'!G39</f>
        <v>0</v>
      </c>
      <c r="C39" s="6">
        <v>0</v>
      </c>
      <c r="D39" s="6">
        <f>'Tareas-notas'!N39</f>
        <v>0</v>
      </c>
      <c r="E39" s="6">
        <f>'Tareas-notas'!U39</f>
        <v>0</v>
      </c>
      <c r="F39" s="6">
        <v>0</v>
      </c>
      <c r="G39" s="6"/>
      <c r="H39" s="6">
        <f t="shared" si="0"/>
        <v>0</v>
      </c>
      <c r="I39" s="22"/>
      <c r="J39" s="6">
        <v>100</v>
      </c>
      <c r="K39" s="6">
        <v>0</v>
      </c>
      <c r="L39" s="6"/>
      <c r="M39" s="6">
        <f t="shared" si="1"/>
        <v>50</v>
      </c>
      <c r="N39" s="22"/>
      <c r="O39" s="6">
        <v>32</v>
      </c>
      <c r="P39" s="22"/>
      <c r="Q39" s="23">
        <f>100</f>
        <v>100</v>
      </c>
      <c r="R39" s="22"/>
      <c r="S39" s="23">
        <f t="shared" si="2"/>
        <v>31.7</v>
      </c>
    </row>
    <row r="40" spans="1:19" ht="12" customHeight="1" x14ac:dyDescent="0.25">
      <c r="A40" s="57" t="s">
        <v>77</v>
      </c>
      <c r="B40" s="21">
        <f>'Tareas-notas'!G40</f>
        <v>0</v>
      </c>
      <c r="C40" s="6">
        <v>0</v>
      </c>
      <c r="D40" s="6">
        <f>'Tareas-notas'!N40</f>
        <v>0</v>
      </c>
      <c r="E40" s="6">
        <f>'Tareas-notas'!U40</f>
        <v>0</v>
      </c>
      <c r="F40" s="6">
        <v>0</v>
      </c>
      <c r="G40" s="6"/>
      <c r="H40" s="6">
        <f t="shared" si="0"/>
        <v>0</v>
      </c>
      <c r="I40" s="22"/>
      <c r="J40" s="6">
        <v>0</v>
      </c>
      <c r="K40" s="6">
        <v>0</v>
      </c>
      <c r="L40" s="6"/>
      <c r="M40" s="6">
        <f t="shared" ref="M40" si="3">AVERAGE(J40:L40)</f>
        <v>0</v>
      </c>
      <c r="N40" s="22"/>
      <c r="O40" s="6">
        <v>0</v>
      </c>
      <c r="P40" s="22"/>
      <c r="Q40" s="23">
        <f>100</f>
        <v>100</v>
      </c>
      <c r="R40" s="22"/>
      <c r="S40" s="23">
        <f t="shared" ref="S40" si="4">IF(SUM(H40*0.25,M40*0.15,O40*0.6,Q40*0.05)&gt;=100,100,SUM(H40*0.25,M40*0.15,O40*0.6,Q40*0.05))</f>
        <v>5</v>
      </c>
    </row>
    <row r="41" spans="1:19" x14ac:dyDescent="0.25">
      <c r="E41" s="33"/>
    </row>
  </sheetData>
  <mergeCells count="2">
    <mergeCell ref="B1:F1"/>
    <mergeCell ref="J1:L1"/>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B40"/>
  <sheetViews>
    <sheetView workbookViewId="0">
      <selection activeCell="A45" sqref="A45"/>
    </sheetView>
  </sheetViews>
  <sheetFormatPr baseColWidth="10" defaultRowHeight="15" x14ac:dyDescent="0.25"/>
  <cols>
    <col min="1" max="1" width="41.28515625" customWidth="1"/>
    <col min="2" max="6" width="3.7109375" customWidth="1"/>
    <col min="7" max="7" width="4.7109375" customWidth="1"/>
    <col min="8" max="8" width="2.7109375" customWidth="1"/>
    <col min="9" max="14" width="3.7109375" customWidth="1"/>
    <col min="15" max="15" width="2.7109375" customWidth="1"/>
    <col min="16" max="21" width="3.7109375" customWidth="1"/>
    <col min="22" max="22" width="2.5703125" customWidth="1"/>
    <col min="23" max="28" width="3.7109375" customWidth="1"/>
  </cols>
  <sheetData>
    <row r="1" spans="1:28" x14ac:dyDescent="0.25">
      <c r="A1" s="36"/>
      <c r="B1" s="66" t="s">
        <v>53</v>
      </c>
      <c r="C1" s="66"/>
      <c r="D1" s="66"/>
      <c r="E1" s="66"/>
      <c r="F1" s="66"/>
      <c r="G1" s="66"/>
      <c r="H1" s="47"/>
      <c r="I1" s="66" t="s">
        <v>63</v>
      </c>
      <c r="J1" s="66"/>
      <c r="K1" s="66"/>
      <c r="L1" s="66"/>
      <c r="M1" s="66"/>
      <c r="N1" s="66"/>
      <c r="O1" s="48"/>
      <c r="P1" s="66" t="s">
        <v>74</v>
      </c>
      <c r="Q1" s="66"/>
      <c r="R1" s="66"/>
      <c r="S1" s="66"/>
      <c r="T1" s="66"/>
      <c r="U1" s="66"/>
      <c r="V1" s="48"/>
      <c r="W1" s="66" t="s">
        <v>75</v>
      </c>
      <c r="X1" s="66"/>
      <c r="Y1" s="66"/>
      <c r="Z1" s="66"/>
      <c r="AA1" s="66"/>
      <c r="AB1" s="66"/>
    </row>
    <row r="2" spans="1:28" x14ac:dyDescent="0.25">
      <c r="A2" s="27" t="s">
        <v>31</v>
      </c>
      <c r="B2" s="38" t="s">
        <v>54</v>
      </c>
      <c r="C2" s="38" t="s">
        <v>55</v>
      </c>
      <c r="D2" s="38" t="s">
        <v>56</v>
      </c>
      <c r="E2" s="38" t="s">
        <v>57</v>
      </c>
      <c r="F2" s="38" t="s">
        <v>58</v>
      </c>
      <c r="G2" s="39" t="s">
        <v>61</v>
      </c>
      <c r="H2" s="28"/>
      <c r="I2" s="38" t="s">
        <v>54</v>
      </c>
      <c r="J2" s="38" t="s">
        <v>55</v>
      </c>
      <c r="K2" s="38" t="s">
        <v>56</v>
      </c>
      <c r="L2" s="38" t="s">
        <v>57</v>
      </c>
      <c r="M2" s="38" t="s">
        <v>58</v>
      </c>
      <c r="N2" s="40" t="s">
        <v>61</v>
      </c>
      <c r="O2" s="37"/>
      <c r="P2" s="38" t="s">
        <v>54</v>
      </c>
      <c r="Q2" s="38" t="s">
        <v>55</v>
      </c>
      <c r="R2" s="38" t="s">
        <v>56</v>
      </c>
      <c r="S2" s="38" t="s">
        <v>57</v>
      </c>
      <c r="T2" s="38" t="s">
        <v>58</v>
      </c>
      <c r="U2" s="40" t="s">
        <v>61</v>
      </c>
      <c r="V2" s="37"/>
      <c r="W2" s="38" t="s">
        <v>54</v>
      </c>
      <c r="X2" s="38" t="s">
        <v>55</v>
      </c>
      <c r="Y2" s="38" t="s">
        <v>56</v>
      </c>
      <c r="Z2" s="38" t="s">
        <v>57</v>
      </c>
      <c r="AA2" s="38" t="s">
        <v>58</v>
      </c>
      <c r="AB2" s="40" t="s">
        <v>61</v>
      </c>
    </row>
    <row r="3" spans="1:28" ht="12" customHeight="1" x14ac:dyDescent="0.25">
      <c r="A3" s="41" t="s">
        <v>0</v>
      </c>
      <c r="B3" s="4">
        <v>85</v>
      </c>
      <c r="C3" s="4">
        <v>80</v>
      </c>
      <c r="D3" s="4">
        <v>70</v>
      </c>
      <c r="E3" s="4">
        <v>90</v>
      </c>
      <c r="F3" s="4">
        <v>0</v>
      </c>
      <c r="G3" s="6">
        <f>SUM(B3*0.1,C3*0.1,D3*0.6,E3*0.1,F3*0.1)</f>
        <v>67.5</v>
      </c>
      <c r="H3" s="42"/>
      <c r="I3" s="6">
        <v>80</v>
      </c>
      <c r="J3" s="6">
        <v>90</v>
      </c>
      <c r="K3" s="6">
        <v>90</v>
      </c>
      <c r="L3" s="6">
        <v>90</v>
      </c>
      <c r="M3" s="6">
        <v>90</v>
      </c>
      <c r="N3" s="6">
        <f>SUM(I3*0.1,J3*0.1,K3*0.6,L3*0.1,M3*0.1)</f>
        <v>89</v>
      </c>
      <c r="O3" s="43"/>
      <c r="P3" s="6">
        <v>80</v>
      </c>
      <c r="Q3" s="6">
        <v>85</v>
      </c>
      <c r="R3" s="6">
        <v>85</v>
      </c>
      <c r="S3" s="6">
        <v>90</v>
      </c>
      <c r="T3" s="6">
        <v>90</v>
      </c>
      <c r="U3" s="6">
        <f>SUM(P3*0.1,Q3*0.1,R3*0.6,S3*0.1,T3*0.1)</f>
        <v>85.5</v>
      </c>
      <c r="V3" s="43"/>
      <c r="W3" s="44"/>
      <c r="X3" s="44"/>
      <c r="Y3" s="44"/>
      <c r="Z3" s="44"/>
      <c r="AA3" s="44"/>
      <c r="AB3" s="6">
        <f>SUM(W3*0.1,X3*0.1,Y3*0.6,Z3*0.1,AA3*0.1)</f>
        <v>0</v>
      </c>
    </row>
    <row r="4" spans="1:28" ht="12" customHeight="1" x14ac:dyDescent="0.25">
      <c r="A4" s="41" t="s">
        <v>1</v>
      </c>
      <c r="B4" s="4">
        <v>85</v>
      </c>
      <c r="C4" s="4">
        <v>90</v>
      </c>
      <c r="D4" s="4">
        <v>90</v>
      </c>
      <c r="E4" s="4">
        <v>90</v>
      </c>
      <c r="F4" s="4">
        <v>10</v>
      </c>
      <c r="G4" s="6">
        <f t="shared" ref="G4:G36" si="0">SUM(B4*0.1,C4*0.1,D4*0.6,E4*0.1,F4*0.1)</f>
        <v>81.5</v>
      </c>
      <c r="H4" s="42"/>
      <c r="I4" s="6">
        <v>90</v>
      </c>
      <c r="J4" s="6">
        <v>90</v>
      </c>
      <c r="K4" s="6">
        <v>95</v>
      </c>
      <c r="L4" s="6">
        <v>90</v>
      </c>
      <c r="M4" s="6">
        <v>90</v>
      </c>
      <c r="N4" s="6">
        <f t="shared" ref="N4:N36" si="1">SUM(I4*0.1,J4*0.1,K4*0.6,L4*0.1,M4*0.1)</f>
        <v>93</v>
      </c>
      <c r="O4" s="43"/>
      <c r="P4" s="6">
        <v>90</v>
      </c>
      <c r="Q4" s="6">
        <v>95</v>
      </c>
      <c r="R4" s="6">
        <v>85</v>
      </c>
      <c r="S4" s="6">
        <v>90</v>
      </c>
      <c r="T4" s="6">
        <v>90</v>
      </c>
      <c r="U4" s="6">
        <f t="shared" ref="U4:U39" si="2">SUM(P4*0.1,Q4*0.1,R4*0.6,S4*0.1,T4*0.1)</f>
        <v>87.5</v>
      </c>
      <c r="V4" s="43"/>
      <c r="W4" s="44"/>
      <c r="X4" s="44"/>
      <c r="Y4" s="44"/>
      <c r="Z4" s="44"/>
      <c r="AA4" s="44"/>
      <c r="AB4" s="6">
        <f t="shared" ref="AB4:AB39" si="3">SUM(W4*0.1,X4*0.1,Y4*0.6,Z4*0.1,AA4*0.1)</f>
        <v>0</v>
      </c>
    </row>
    <row r="5" spans="1:28" ht="12" customHeight="1" x14ac:dyDescent="0.25">
      <c r="A5" s="41" t="s">
        <v>2</v>
      </c>
      <c r="B5" s="4">
        <v>90</v>
      </c>
      <c r="C5" s="4">
        <v>90</v>
      </c>
      <c r="D5" s="4">
        <v>85</v>
      </c>
      <c r="E5" s="4">
        <v>90</v>
      </c>
      <c r="F5" s="4">
        <v>0</v>
      </c>
      <c r="G5" s="6">
        <f t="shared" si="0"/>
        <v>78</v>
      </c>
      <c r="H5" s="42"/>
      <c r="I5" s="6">
        <v>90</v>
      </c>
      <c r="J5" s="6">
        <v>90</v>
      </c>
      <c r="K5" s="6">
        <v>90</v>
      </c>
      <c r="L5" s="6">
        <v>90</v>
      </c>
      <c r="M5" s="6">
        <v>0</v>
      </c>
      <c r="N5" s="6">
        <f t="shared" si="1"/>
        <v>81</v>
      </c>
      <c r="O5" s="43"/>
      <c r="P5" s="6">
        <v>85</v>
      </c>
      <c r="Q5" s="6">
        <v>80</v>
      </c>
      <c r="R5" s="6">
        <v>85</v>
      </c>
      <c r="S5" s="6">
        <v>90</v>
      </c>
      <c r="T5" s="6">
        <v>90</v>
      </c>
      <c r="U5" s="6">
        <f t="shared" si="2"/>
        <v>85.5</v>
      </c>
      <c r="V5" s="43"/>
      <c r="W5" s="44"/>
      <c r="X5" s="44"/>
      <c r="Y5" s="44"/>
      <c r="Z5" s="44"/>
      <c r="AA5" s="44"/>
      <c r="AB5" s="6">
        <f t="shared" si="3"/>
        <v>0</v>
      </c>
    </row>
    <row r="6" spans="1:28" ht="12" customHeight="1" x14ac:dyDescent="0.25">
      <c r="A6" s="41" t="s">
        <v>70</v>
      </c>
      <c r="B6" s="4">
        <v>75</v>
      </c>
      <c r="C6" s="4">
        <v>80</v>
      </c>
      <c r="D6" s="4">
        <v>90</v>
      </c>
      <c r="E6" s="4">
        <v>90</v>
      </c>
      <c r="F6" s="4">
        <v>0</v>
      </c>
      <c r="G6" s="6">
        <f t="shared" si="0"/>
        <v>78.5</v>
      </c>
      <c r="H6" s="42"/>
      <c r="I6" s="6">
        <v>75</v>
      </c>
      <c r="J6" s="6">
        <v>80</v>
      </c>
      <c r="K6" s="6">
        <v>90</v>
      </c>
      <c r="L6" s="6">
        <v>90</v>
      </c>
      <c r="M6" s="6">
        <v>0</v>
      </c>
      <c r="N6" s="6">
        <f t="shared" si="1"/>
        <v>78.5</v>
      </c>
      <c r="O6" s="43"/>
      <c r="P6" s="6">
        <v>75</v>
      </c>
      <c r="Q6" s="6">
        <v>70</v>
      </c>
      <c r="R6" s="6">
        <v>80</v>
      </c>
      <c r="S6" s="6">
        <v>90</v>
      </c>
      <c r="T6" s="6">
        <v>0</v>
      </c>
      <c r="U6" s="6">
        <f t="shared" si="2"/>
        <v>71.5</v>
      </c>
      <c r="V6" s="43"/>
      <c r="W6" s="44"/>
      <c r="X6" s="44"/>
      <c r="Y6" s="44"/>
      <c r="Z6" s="44"/>
      <c r="AA6" s="44"/>
      <c r="AB6" s="6">
        <f t="shared" si="3"/>
        <v>0</v>
      </c>
    </row>
    <row r="7" spans="1:28" ht="12" customHeight="1" x14ac:dyDescent="0.25">
      <c r="A7" s="41" t="s">
        <v>4</v>
      </c>
      <c r="B7" s="4">
        <v>70</v>
      </c>
      <c r="C7" s="4">
        <v>80</v>
      </c>
      <c r="D7" s="4">
        <v>90</v>
      </c>
      <c r="E7" s="4">
        <v>90</v>
      </c>
      <c r="F7" s="4">
        <v>0</v>
      </c>
      <c r="G7" s="6">
        <f t="shared" si="0"/>
        <v>78</v>
      </c>
      <c r="H7" s="42"/>
      <c r="I7" s="6">
        <v>70</v>
      </c>
      <c r="J7" s="6">
        <v>80</v>
      </c>
      <c r="K7" s="6">
        <v>0</v>
      </c>
      <c r="L7" s="6">
        <v>90</v>
      </c>
      <c r="M7" s="6">
        <v>0</v>
      </c>
      <c r="N7" s="6">
        <f t="shared" si="1"/>
        <v>24</v>
      </c>
      <c r="O7" s="43"/>
      <c r="P7" s="6">
        <v>80</v>
      </c>
      <c r="Q7" s="6">
        <v>80</v>
      </c>
      <c r="R7" s="6">
        <v>85</v>
      </c>
      <c r="S7" s="6">
        <v>90</v>
      </c>
      <c r="T7" s="6">
        <v>0</v>
      </c>
      <c r="U7" s="6">
        <f t="shared" si="2"/>
        <v>76</v>
      </c>
      <c r="V7" s="43"/>
      <c r="W7" s="44"/>
      <c r="X7" s="44"/>
      <c r="Y7" s="44"/>
      <c r="Z7" s="44"/>
      <c r="AA7" s="44"/>
      <c r="AB7" s="6">
        <f t="shared" si="3"/>
        <v>0</v>
      </c>
    </row>
    <row r="8" spans="1:28" ht="12" customHeight="1" x14ac:dyDescent="0.25">
      <c r="A8" s="41" t="s">
        <v>5</v>
      </c>
      <c r="B8" s="4">
        <v>90</v>
      </c>
      <c r="C8" s="4">
        <v>95</v>
      </c>
      <c r="D8" s="4">
        <v>95</v>
      </c>
      <c r="E8" s="4">
        <v>90</v>
      </c>
      <c r="F8" s="4">
        <v>0</v>
      </c>
      <c r="G8" s="6">
        <f t="shared" si="0"/>
        <v>84.5</v>
      </c>
      <c r="H8" s="42"/>
      <c r="I8" s="6">
        <v>90</v>
      </c>
      <c r="J8" s="6">
        <v>90</v>
      </c>
      <c r="K8" s="6">
        <v>95</v>
      </c>
      <c r="L8" s="6">
        <v>90</v>
      </c>
      <c r="M8" s="6">
        <v>90</v>
      </c>
      <c r="N8" s="6">
        <f t="shared" si="1"/>
        <v>93</v>
      </c>
      <c r="O8" s="43"/>
      <c r="P8" s="6">
        <v>90</v>
      </c>
      <c r="Q8" s="6">
        <v>90</v>
      </c>
      <c r="R8" s="6">
        <v>90</v>
      </c>
      <c r="S8" s="6">
        <v>90</v>
      </c>
      <c r="T8" s="6">
        <v>90</v>
      </c>
      <c r="U8" s="6">
        <f t="shared" si="2"/>
        <v>90</v>
      </c>
      <c r="V8" s="43"/>
      <c r="W8" s="44"/>
      <c r="X8" s="44"/>
      <c r="Y8" s="44"/>
      <c r="Z8" s="44"/>
      <c r="AA8" s="44"/>
      <c r="AB8" s="6">
        <f t="shared" si="3"/>
        <v>0</v>
      </c>
    </row>
    <row r="9" spans="1:28" ht="12" customHeight="1" x14ac:dyDescent="0.25">
      <c r="A9" s="41" t="s">
        <v>6</v>
      </c>
      <c r="B9" s="4">
        <v>90</v>
      </c>
      <c r="C9" s="4">
        <v>90</v>
      </c>
      <c r="D9" s="4">
        <v>95</v>
      </c>
      <c r="E9" s="4">
        <v>90</v>
      </c>
      <c r="F9" s="4">
        <v>95</v>
      </c>
      <c r="G9" s="6">
        <f t="shared" si="0"/>
        <v>93.5</v>
      </c>
      <c r="H9" s="42"/>
      <c r="I9" s="6">
        <v>90</v>
      </c>
      <c r="J9" s="6">
        <v>85</v>
      </c>
      <c r="K9" s="6">
        <v>0</v>
      </c>
      <c r="L9" s="6">
        <v>90</v>
      </c>
      <c r="M9" s="6">
        <v>90</v>
      </c>
      <c r="N9" s="6">
        <f t="shared" si="1"/>
        <v>35.5</v>
      </c>
      <c r="O9" s="43"/>
      <c r="P9" s="6">
        <v>90</v>
      </c>
      <c r="Q9" s="6">
        <v>90</v>
      </c>
      <c r="R9" s="6">
        <v>90</v>
      </c>
      <c r="S9" s="6">
        <v>90</v>
      </c>
      <c r="T9" s="6">
        <v>0</v>
      </c>
      <c r="U9" s="6">
        <f t="shared" si="2"/>
        <v>81</v>
      </c>
      <c r="V9" s="43"/>
      <c r="W9" s="44"/>
      <c r="X9" s="44"/>
      <c r="Y9" s="44"/>
      <c r="Z9" s="44"/>
      <c r="AA9" s="44"/>
      <c r="AB9" s="6">
        <f t="shared" si="3"/>
        <v>0</v>
      </c>
    </row>
    <row r="10" spans="1:28" ht="12" customHeight="1" x14ac:dyDescent="0.25">
      <c r="A10" s="41" t="s">
        <v>7</v>
      </c>
      <c r="B10" s="4">
        <v>85</v>
      </c>
      <c r="C10" s="4">
        <v>85</v>
      </c>
      <c r="D10" s="4">
        <v>80</v>
      </c>
      <c r="E10" s="4">
        <v>90</v>
      </c>
      <c r="F10" s="4">
        <v>90</v>
      </c>
      <c r="G10" s="6">
        <f t="shared" si="0"/>
        <v>83</v>
      </c>
      <c r="H10" s="42"/>
      <c r="I10" s="6">
        <v>90</v>
      </c>
      <c r="J10" s="6">
        <v>90</v>
      </c>
      <c r="K10" s="6">
        <v>95</v>
      </c>
      <c r="L10" s="6">
        <v>90</v>
      </c>
      <c r="M10" s="6">
        <v>90</v>
      </c>
      <c r="N10" s="6">
        <f t="shared" si="1"/>
        <v>93</v>
      </c>
      <c r="O10" s="43"/>
      <c r="P10" s="6">
        <v>90</v>
      </c>
      <c r="Q10" s="6">
        <v>90</v>
      </c>
      <c r="R10" s="6">
        <v>90</v>
      </c>
      <c r="S10" s="6">
        <v>90</v>
      </c>
      <c r="T10" s="6">
        <v>90</v>
      </c>
      <c r="U10" s="6">
        <f t="shared" si="2"/>
        <v>90</v>
      </c>
      <c r="V10" s="43"/>
      <c r="W10" s="44"/>
      <c r="X10" s="44"/>
      <c r="Y10" s="44"/>
      <c r="Z10" s="44"/>
      <c r="AA10" s="44"/>
      <c r="AB10" s="6">
        <f t="shared" si="3"/>
        <v>0</v>
      </c>
    </row>
    <row r="11" spans="1:28" ht="12" customHeight="1" x14ac:dyDescent="0.25">
      <c r="A11" s="41" t="s">
        <v>9</v>
      </c>
      <c r="B11" s="4">
        <v>80</v>
      </c>
      <c r="C11" s="4">
        <v>85</v>
      </c>
      <c r="D11" s="4">
        <v>90</v>
      </c>
      <c r="E11" s="4">
        <v>90</v>
      </c>
      <c r="F11" s="4">
        <v>90</v>
      </c>
      <c r="G11" s="6">
        <f>SUM(B11*0.1,C11*0.1,D11*0.6,E11*0.1,F11*0.1)</f>
        <v>88.5</v>
      </c>
      <c r="H11" s="42"/>
      <c r="I11" s="6">
        <v>85</v>
      </c>
      <c r="J11" s="6">
        <v>90</v>
      </c>
      <c r="K11" s="6">
        <v>90</v>
      </c>
      <c r="L11" s="6">
        <v>90</v>
      </c>
      <c r="M11" s="6">
        <v>90</v>
      </c>
      <c r="N11" s="6">
        <f t="shared" si="1"/>
        <v>89.5</v>
      </c>
      <c r="O11" s="43"/>
      <c r="P11" s="6">
        <v>80</v>
      </c>
      <c r="Q11" s="6">
        <v>90</v>
      </c>
      <c r="R11" s="6">
        <v>85</v>
      </c>
      <c r="S11" s="6">
        <v>90</v>
      </c>
      <c r="T11" s="6">
        <v>90</v>
      </c>
      <c r="U11" s="6">
        <f t="shared" si="2"/>
        <v>86</v>
      </c>
      <c r="V11" s="43"/>
      <c r="W11" s="44"/>
      <c r="X11" s="44"/>
      <c r="Y11" s="44"/>
      <c r="Z11" s="44"/>
      <c r="AA11" s="44"/>
      <c r="AB11" s="6">
        <f t="shared" si="3"/>
        <v>0</v>
      </c>
    </row>
    <row r="12" spans="1:28" ht="12" customHeight="1" x14ac:dyDescent="0.25">
      <c r="A12" s="41" t="s">
        <v>10</v>
      </c>
      <c r="B12" s="4">
        <v>85</v>
      </c>
      <c r="C12" s="4">
        <v>80</v>
      </c>
      <c r="D12" s="4">
        <v>85</v>
      </c>
      <c r="E12" s="4">
        <v>90</v>
      </c>
      <c r="F12" s="4">
        <v>80</v>
      </c>
      <c r="G12" s="6">
        <f t="shared" si="0"/>
        <v>84.5</v>
      </c>
      <c r="H12" s="42"/>
      <c r="I12" s="6">
        <v>95</v>
      </c>
      <c r="J12" s="6">
        <v>90</v>
      </c>
      <c r="K12" s="6">
        <v>70</v>
      </c>
      <c r="L12" s="6">
        <v>90</v>
      </c>
      <c r="M12" s="6">
        <v>90</v>
      </c>
      <c r="N12" s="6">
        <f t="shared" si="1"/>
        <v>78.5</v>
      </c>
      <c r="O12" s="43"/>
      <c r="P12" s="6">
        <v>90</v>
      </c>
      <c r="Q12" s="6">
        <v>85</v>
      </c>
      <c r="R12" s="6">
        <v>80</v>
      </c>
      <c r="S12" s="6">
        <v>90</v>
      </c>
      <c r="T12" s="6">
        <v>90</v>
      </c>
      <c r="U12" s="6">
        <f t="shared" si="2"/>
        <v>83.5</v>
      </c>
      <c r="V12" s="43"/>
      <c r="W12" s="44"/>
      <c r="X12" s="44"/>
      <c r="Y12" s="44"/>
      <c r="Z12" s="44"/>
      <c r="AA12" s="44"/>
      <c r="AB12" s="6">
        <f t="shared" si="3"/>
        <v>0</v>
      </c>
    </row>
    <row r="13" spans="1:28" ht="12" customHeight="1" x14ac:dyDescent="0.25">
      <c r="A13" s="41" t="s">
        <v>11</v>
      </c>
      <c r="B13" s="4">
        <v>40</v>
      </c>
      <c r="C13" s="4">
        <v>80</v>
      </c>
      <c r="D13" s="4">
        <v>90</v>
      </c>
      <c r="E13" s="4">
        <v>90</v>
      </c>
      <c r="F13" s="4">
        <v>0</v>
      </c>
      <c r="G13" s="6">
        <f t="shared" si="0"/>
        <v>75</v>
      </c>
      <c r="H13" s="42"/>
      <c r="I13" s="6">
        <v>85</v>
      </c>
      <c r="J13" s="6">
        <v>90</v>
      </c>
      <c r="K13" s="6">
        <v>70</v>
      </c>
      <c r="L13" s="6">
        <v>90</v>
      </c>
      <c r="M13" s="6">
        <v>90</v>
      </c>
      <c r="N13" s="6">
        <f t="shared" si="1"/>
        <v>77.5</v>
      </c>
      <c r="O13" s="43"/>
      <c r="P13" s="6">
        <v>90</v>
      </c>
      <c r="Q13" s="6">
        <v>85</v>
      </c>
      <c r="R13" s="6">
        <v>85</v>
      </c>
      <c r="S13" s="6">
        <v>90</v>
      </c>
      <c r="T13" s="6">
        <v>90</v>
      </c>
      <c r="U13" s="6">
        <f t="shared" si="2"/>
        <v>86.5</v>
      </c>
      <c r="V13" s="43"/>
      <c r="W13" s="44"/>
      <c r="X13" s="44"/>
      <c r="Y13" s="44"/>
      <c r="Z13" s="44"/>
      <c r="AA13" s="44"/>
      <c r="AB13" s="6">
        <f t="shared" si="3"/>
        <v>0</v>
      </c>
    </row>
    <row r="14" spans="1:28" ht="12" customHeight="1" x14ac:dyDescent="0.25">
      <c r="A14" s="41" t="s">
        <v>12</v>
      </c>
      <c r="B14" s="4"/>
      <c r="C14" s="4"/>
      <c r="D14" s="4"/>
      <c r="E14" s="4"/>
      <c r="F14" s="4"/>
      <c r="G14" s="6">
        <f t="shared" si="0"/>
        <v>0</v>
      </c>
      <c r="H14" s="42"/>
      <c r="I14" s="6"/>
      <c r="J14" s="6"/>
      <c r="K14" s="6"/>
      <c r="L14" s="6"/>
      <c r="M14" s="6"/>
      <c r="N14" s="6">
        <f t="shared" si="1"/>
        <v>0</v>
      </c>
      <c r="O14" s="43"/>
      <c r="P14" s="6">
        <v>90</v>
      </c>
      <c r="Q14" s="6">
        <v>80</v>
      </c>
      <c r="R14" s="6">
        <v>90</v>
      </c>
      <c r="S14" s="6">
        <v>80</v>
      </c>
      <c r="T14" s="6">
        <v>90</v>
      </c>
      <c r="U14" s="6">
        <f t="shared" si="2"/>
        <v>88</v>
      </c>
      <c r="V14" s="43"/>
      <c r="W14" s="44"/>
      <c r="X14" s="44"/>
      <c r="Y14" s="44"/>
      <c r="Z14" s="44"/>
      <c r="AA14" s="44"/>
      <c r="AB14" s="6">
        <f t="shared" si="3"/>
        <v>0</v>
      </c>
    </row>
    <row r="15" spans="1:28" ht="12" customHeight="1" x14ac:dyDescent="0.25">
      <c r="A15" s="41" t="s">
        <v>13</v>
      </c>
      <c r="B15" s="4">
        <v>95</v>
      </c>
      <c r="C15" s="4">
        <v>95</v>
      </c>
      <c r="D15" s="4">
        <v>95</v>
      </c>
      <c r="E15" s="4">
        <v>90</v>
      </c>
      <c r="F15" s="4">
        <v>0</v>
      </c>
      <c r="G15" s="6">
        <f t="shared" si="0"/>
        <v>85</v>
      </c>
      <c r="H15" s="42"/>
      <c r="I15" s="6">
        <v>90</v>
      </c>
      <c r="J15" s="6">
        <v>90</v>
      </c>
      <c r="K15" s="6">
        <v>90</v>
      </c>
      <c r="L15" s="6">
        <v>90</v>
      </c>
      <c r="M15" s="6">
        <v>90</v>
      </c>
      <c r="N15" s="6">
        <f t="shared" si="1"/>
        <v>90</v>
      </c>
      <c r="O15" s="43"/>
      <c r="P15" s="6">
        <v>90</v>
      </c>
      <c r="Q15" s="6">
        <v>90</v>
      </c>
      <c r="R15" s="6">
        <v>85</v>
      </c>
      <c r="S15" s="6">
        <v>90</v>
      </c>
      <c r="T15" s="6">
        <v>90</v>
      </c>
      <c r="U15" s="6">
        <f t="shared" si="2"/>
        <v>87</v>
      </c>
      <c r="V15" s="43"/>
      <c r="W15" s="44"/>
      <c r="X15" s="44"/>
      <c r="Y15" s="44"/>
      <c r="Z15" s="44"/>
      <c r="AA15" s="44"/>
      <c r="AB15" s="6">
        <f t="shared" si="3"/>
        <v>0</v>
      </c>
    </row>
    <row r="16" spans="1:28" ht="12" customHeight="1" x14ac:dyDescent="0.25">
      <c r="A16" s="41" t="s">
        <v>14</v>
      </c>
      <c r="B16" s="4">
        <v>85</v>
      </c>
      <c r="C16" s="4">
        <v>90</v>
      </c>
      <c r="D16" s="4">
        <v>90</v>
      </c>
      <c r="E16" s="4">
        <v>90</v>
      </c>
      <c r="F16" s="4">
        <v>0</v>
      </c>
      <c r="G16" s="6">
        <f t="shared" si="0"/>
        <v>80.5</v>
      </c>
      <c r="H16" s="42"/>
      <c r="I16" s="6">
        <v>90</v>
      </c>
      <c r="J16" s="6">
        <v>90</v>
      </c>
      <c r="K16" s="6">
        <v>95</v>
      </c>
      <c r="L16" s="6">
        <v>90</v>
      </c>
      <c r="M16" s="6">
        <v>85</v>
      </c>
      <c r="N16" s="6">
        <f t="shared" si="1"/>
        <v>92.5</v>
      </c>
      <c r="O16" s="43"/>
      <c r="P16" s="6">
        <v>90</v>
      </c>
      <c r="Q16" s="6">
        <v>90</v>
      </c>
      <c r="R16" s="6">
        <v>95</v>
      </c>
      <c r="S16" s="6">
        <v>90</v>
      </c>
      <c r="T16" s="6">
        <v>0</v>
      </c>
      <c r="U16" s="6">
        <f t="shared" si="2"/>
        <v>84</v>
      </c>
      <c r="V16" s="43"/>
      <c r="W16" s="44"/>
      <c r="X16" s="44"/>
      <c r="Y16" s="44"/>
      <c r="Z16" s="44"/>
      <c r="AA16" s="44"/>
      <c r="AB16" s="6">
        <f t="shared" si="3"/>
        <v>0</v>
      </c>
    </row>
    <row r="17" spans="1:28" ht="12" customHeight="1" x14ac:dyDescent="0.25">
      <c r="A17" s="41" t="s">
        <v>15</v>
      </c>
      <c r="B17" s="4">
        <v>90</v>
      </c>
      <c r="C17" s="4">
        <v>95</v>
      </c>
      <c r="D17" s="4">
        <v>95</v>
      </c>
      <c r="E17" s="4">
        <v>90</v>
      </c>
      <c r="F17" s="4">
        <v>85</v>
      </c>
      <c r="G17" s="6">
        <f t="shared" si="0"/>
        <v>93</v>
      </c>
      <c r="H17" s="42"/>
      <c r="I17" s="6">
        <v>90</v>
      </c>
      <c r="J17" s="6">
        <v>90</v>
      </c>
      <c r="K17" s="6">
        <v>95</v>
      </c>
      <c r="L17" s="6">
        <v>90</v>
      </c>
      <c r="M17" s="6">
        <v>90</v>
      </c>
      <c r="N17" s="6">
        <f t="shared" si="1"/>
        <v>93</v>
      </c>
      <c r="O17" s="43"/>
      <c r="P17" s="6">
        <v>90</v>
      </c>
      <c r="Q17" s="6">
        <v>90</v>
      </c>
      <c r="R17" s="6">
        <v>85</v>
      </c>
      <c r="S17" s="6">
        <v>90</v>
      </c>
      <c r="T17" s="6">
        <v>90</v>
      </c>
      <c r="U17" s="6">
        <f t="shared" si="2"/>
        <v>87</v>
      </c>
      <c r="V17" s="43"/>
      <c r="W17" s="44"/>
      <c r="X17" s="44"/>
      <c r="Y17" s="44"/>
      <c r="Z17" s="44"/>
      <c r="AA17" s="44"/>
      <c r="AB17" s="6">
        <f t="shared" si="3"/>
        <v>0</v>
      </c>
    </row>
    <row r="18" spans="1:28" ht="12" customHeight="1" x14ac:dyDescent="0.25">
      <c r="A18" s="41" t="s">
        <v>16</v>
      </c>
      <c r="B18" s="4">
        <v>95</v>
      </c>
      <c r="C18" s="4">
        <v>95</v>
      </c>
      <c r="D18" s="4">
        <v>95</v>
      </c>
      <c r="E18" s="4">
        <v>90</v>
      </c>
      <c r="F18" s="4">
        <v>100</v>
      </c>
      <c r="G18" s="6">
        <f t="shared" si="0"/>
        <v>95</v>
      </c>
      <c r="H18" s="42"/>
      <c r="I18" s="6">
        <v>95</v>
      </c>
      <c r="J18" s="6">
        <v>95</v>
      </c>
      <c r="K18" s="6">
        <v>95</v>
      </c>
      <c r="L18" s="6">
        <v>90</v>
      </c>
      <c r="M18" s="6">
        <v>95</v>
      </c>
      <c r="N18" s="6">
        <f t="shared" si="1"/>
        <v>94.5</v>
      </c>
      <c r="O18" s="43"/>
      <c r="P18" s="6">
        <v>90</v>
      </c>
      <c r="Q18" s="6">
        <v>90</v>
      </c>
      <c r="R18" s="6">
        <v>90</v>
      </c>
      <c r="S18" s="6">
        <v>90</v>
      </c>
      <c r="T18" s="6">
        <v>95</v>
      </c>
      <c r="U18" s="6">
        <f t="shared" si="2"/>
        <v>90.5</v>
      </c>
      <c r="V18" s="43"/>
      <c r="W18" s="44"/>
      <c r="X18" s="44"/>
      <c r="Y18" s="44"/>
      <c r="Z18" s="44"/>
      <c r="AA18" s="44"/>
      <c r="AB18" s="6">
        <f t="shared" si="3"/>
        <v>0</v>
      </c>
    </row>
    <row r="19" spans="1:28" ht="12" customHeight="1" x14ac:dyDescent="0.25">
      <c r="A19" s="41" t="s">
        <v>17</v>
      </c>
      <c r="B19" s="4">
        <v>90</v>
      </c>
      <c r="C19" s="4">
        <v>80</v>
      </c>
      <c r="D19" s="4">
        <v>85</v>
      </c>
      <c r="E19" s="4">
        <v>90</v>
      </c>
      <c r="F19" s="4">
        <v>0</v>
      </c>
      <c r="G19" s="6">
        <f t="shared" si="0"/>
        <v>77</v>
      </c>
      <c r="H19" s="42"/>
      <c r="I19" s="6">
        <v>95</v>
      </c>
      <c r="J19" s="6">
        <v>90</v>
      </c>
      <c r="K19" s="6">
        <v>90</v>
      </c>
      <c r="L19" s="6">
        <v>90</v>
      </c>
      <c r="M19" s="6">
        <v>90</v>
      </c>
      <c r="N19" s="6">
        <f t="shared" si="1"/>
        <v>90.5</v>
      </c>
      <c r="O19" s="43"/>
      <c r="P19" s="6">
        <v>95</v>
      </c>
      <c r="Q19" s="6">
        <v>90</v>
      </c>
      <c r="R19" s="6">
        <v>90</v>
      </c>
      <c r="S19" s="6">
        <v>90</v>
      </c>
      <c r="T19" s="6">
        <v>90</v>
      </c>
      <c r="U19" s="6">
        <f t="shared" si="2"/>
        <v>90.5</v>
      </c>
      <c r="V19" s="43"/>
      <c r="W19" s="44"/>
      <c r="X19" s="44"/>
      <c r="Y19" s="44"/>
      <c r="Z19" s="44"/>
      <c r="AA19" s="44"/>
      <c r="AB19" s="6">
        <f t="shared" si="3"/>
        <v>0</v>
      </c>
    </row>
    <row r="20" spans="1:28" ht="12" customHeight="1" x14ac:dyDescent="0.25">
      <c r="A20" s="41" t="s">
        <v>60</v>
      </c>
      <c r="B20" s="4">
        <v>80</v>
      </c>
      <c r="C20" s="4">
        <v>85</v>
      </c>
      <c r="D20" s="4">
        <v>85</v>
      </c>
      <c r="E20" s="4">
        <v>90</v>
      </c>
      <c r="F20" s="4">
        <v>0</v>
      </c>
      <c r="G20" s="6">
        <f t="shared" si="0"/>
        <v>76.5</v>
      </c>
      <c r="H20" s="42"/>
      <c r="I20" s="6">
        <v>95</v>
      </c>
      <c r="J20" s="6">
        <v>95</v>
      </c>
      <c r="K20" s="6">
        <v>95</v>
      </c>
      <c r="L20" s="6">
        <v>90</v>
      </c>
      <c r="M20" s="6">
        <v>100</v>
      </c>
      <c r="N20" s="6">
        <f t="shared" si="1"/>
        <v>95</v>
      </c>
      <c r="O20" s="43"/>
      <c r="P20" s="6">
        <v>95</v>
      </c>
      <c r="Q20" s="6">
        <v>95</v>
      </c>
      <c r="R20" s="6">
        <v>90</v>
      </c>
      <c r="S20" s="6">
        <v>90</v>
      </c>
      <c r="T20" s="6">
        <v>90</v>
      </c>
      <c r="U20" s="6">
        <f t="shared" si="2"/>
        <v>91</v>
      </c>
      <c r="V20" s="43"/>
      <c r="W20" s="44"/>
      <c r="X20" s="44"/>
      <c r="Y20" s="44"/>
      <c r="Z20" s="44"/>
      <c r="AA20" s="44"/>
      <c r="AB20" s="6">
        <f t="shared" si="3"/>
        <v>0</v>
      </c>
    </row>
    <row r="21" spans="1:28" ht="12" customHeight="1" x14ac:dyDescent="0.25">
      <c r="A21" s="41" t="s">
        <v>18</v>
      </c>
      <c r="B21" s="4">
        <v>85</v>
      </c>
      <c r="C21" s="4">
        <v>95</v>
      </c>
      <c r="D21" s="4">
        <v>90</v>
      </c>
      <c r="E21" s="4">
        <v>90</v>
      </c>
      <c r="F21" s="4">
        <v>0</v>
      </c>
      <c r="G21" s="6">
        <f t="shared" si="0"/>
        <v>81</v>
      </c>
      <c r="H21" s="42"/>
      <c r="I21" s="6">
        <v>85</v>
      </c>
      <c r="J21" s="6">
        <v>90</v>
      </c>
      <c r="K21" s="6">
        <v>90</v>
      </c>
      <c r="L21" s="6">
        <v>90</v>
      </c>
      <c r="M21" s="6">
        <v>85</v>
      </c>
      <c r="N21" s="6">
        <f t="shared" si="1"/>
        <v>89</v>
      </c>
      <c r="O21" s="43"/>
      <c r="P21" s="6">
        <v>85</v>
      </c>
      <c r="Q21" s="6">
        <v>90</v>
      </c>
      <c r="R21" s="6">
        <v>95</v>
      </c>
      <c r="S21" s="6">
        <v>90</v>
      </c>
      <c r="T21" s="6">
        <v>85</v>
      </c>
      <c r="U21" s="6">
        <f t="shared" si="2"/>
        <v>92</v>
      </c>
      <c r="V21" s="43"/>
      <c r="W21" s="44"/>
      <c r="X21" s="44"/>
      <c r="Y21" s="44"/>
      <c r="Z21" s="44"/>
      <c r="AA21" s="44"/>
      <c r="AB21" s="6">
        <f t="shared" si="3"/>
        <v>0</v>
      </c>
    </row>
    <row r="22" spans="1:28" ht="12" customHeight="1" x14ac:dyDescent="0.25">
      <c r="A22" s="41" t="s">
        <v>19</v>
      </c>
      <c r="B22" s="4">
        <v>90</v>
      </c>
      <c r="C22" s="4">
        <v>90</v>
      </c>
      <c r="D22" s="4">
        <v>95</v>
      </c>
      <c r="E22" s="4">
        <v>90</v>
      </c>
      <c r="F22" s="4">
        <v>90</v>
      </c>
      <c r="G22" s="6">
        <f t="shared" si="0"/>
        <v>93</v>
      </c>
      <c r="H22" s="42"/>
      <c r="I22" s="6">
        <v>90</v>
      </c>
      <c r="J22" s="6">
        <v>95</v>
      </c>
      <c r="K22" s="6">
        <v>95</v>
      </c>
      <c r="L22" s="6">
        <v>90</v>
      </c>
      <c r="M22" s="6">
        <v>90</v>
      </c>
      <c r="N22" s="6">
        <f t="shared" si="1"/>
        <v>93.5</v>
      </c>
      <c r="O22" s="43"/>
      <c r="P22" s="6">
        <v>90</v>
      </c>
      <c r="Q22" s="6">
        <v>90</v>
      </c>
      <c r="R22" s="6">
        <v>90</v>
      </c>
      <c r="S22" s="6">
        <v>90</v>
      </c>
      <c r="T22" s="6">
        <v>85</v>
      </c>
      <c r="U22" s="6">
        <f t="shared" si="2"/>
        <v>89.5</v>
      </c>
      <c r="V22" s="43"/>
      <c r="W22" s="44"/>
      <c r="X22" s="44"/>
      <c r="Y22" s="44"/>
      <c r="Z22" s="44"/>
      <c r="AA22" s="44"/>
      <c r="AB22" s="6">
        <f t="shared" si="3"/>
        <v>0</v>
      </c>
    </row>
    <row r="23" spans="1:28" ht="12" customHeight="1" x14ac:dyDescent="0.25">
      <c r="A23" s="41" t="s">
        <v>20</v>
      </c>
      <c r="B23" s="4">
        <v>70</v>
      </c>
      <c r="C23" s="4">
        <v>60</v>
      </c>
      <c r="D23" s="4">
        <v>50</v>
      </c>
      <c r="E23" s="4">
        <v>90</v>
      </c>
      <c r="F23" s="4">
        <v>0</v>
      </c>
      <c r="G23" s="6">
        <f t="shared" si="0"/>
        <v>52</v>
      </c>
      <c r="H23" s="42"/>
      <c r="I23" s="6">
        <v>80</v>
      </c>
      <c r="J23" s="6">
        <v>90</v>
      </c>
      <c r="K23" s="6">
        <v>90</v>
      </c>
      <c r="L23" s="6">
        <v>90</v>
      </c>
      <c r="M23" s="6">
        <v>90</v>
      </c>
      <c r="N23" s="6">
        <f t="shared" si="1"/>
        <v>89</v>
      </c>
      <c r="O23" s="43"/>
      <c r="P23" s="6">
        <v>70</v>
      </c>
      <c r="Q23" s="6">
        <v>70</v>
      </c>
      <c r="R23" s="6">
        <v>70</v>
      </c>
      <c r="S23" s="6">
        <v>90</v>
      </c>
      <c r="T23" s="6">
        <v>80</v>
      </c>
      <c r="U23" s="6">
        <f t="shared" si="2"/>
        <v>73</v>
      </c>
      <c r="V23" s="43"/>
      <c r="W23" s="44"/>
      <c r="X23" s="44"/>
      <c r="Y23" s="44"/>
      <c r="Z23" s="44"/>
      <c r="AA23" s="44"/>
      <c r="AB23" s="6">
        <f t="shared" si="3"/>
        <v>0</v>
      </c>
    </row>
    <row r="24" spans="1:28" ht="12" customHeight="1" x14ac:dyDescent="0.25">
      <c r="A24" s="41" t="s">
        <v>21</v>
      </c>
      <c r="B24" s="4">
        <v>90</v>
      </c>
      <c r="C24" s="4">
        <v>85</v>
      </c>
      <c r="D24" s="4">
        <v>90</v>
      </c>
      <c r="E24" s="4">
        <v>90</v>
      </c>
      <c r="F24" s="4">
        <v>85</v>
      </c>
      <c r="G24" s="6">
        <f t="shared" si="0"/>
        <v>89</v>
      </c>
      <c r="H24" s="42"/>
      <c r="I24" s="6">
        <v>90</v>
      </c>
      <c r="J24" s="6">
        <v>85</v>
      </c>
      <c r="K24" s="6">
        <v>95</v>
      </c>
      <c r="L24" s="6">
        <v>90</v>
      </c>
      <c r="M24" s="6">
        <v>90</v>
      </c>
      <c r="N24" s="6">
        <f t="shared" si="1"/>
        <v>92.5</v>
      </c>
      <c r="O24" s="43"/>
      <c r="P24" s="6">
        <v>90</v>
      </c>
      <c r="Q24" s="6">
        <v>90</v>
      </c>
      <c r="R24" s="6">
        <v>90</v>
      </c>
      <c r="S24" s="6">
        <v>90</v>
      </c>
      <c r="T24" s="6">
        <v>80</v>
      </c>
      <c r="U24" s="6">
        <f t="shared" si="2"/>
        <v>89</v>
      </c>
      <c r="V24" s="43"/>
      <c r="W24" s="44"/>
      <c r="X24" s="44"/>
      <c r="Y24" s="44"/>
      <c r="Z24" s="44"/>
      <c r="AA24" s="44"/>
      <c r="AB24" s="6">
        <f t="shared" si="3"/>
        <v>0</v>
      </c>
    </row>
    <row r="25" spans="1:28" ht="12" customHeight="1" x14ac:dyDescent="0.25">
      <c r="A25" s="41" t="s">
        <v>22</v>
      </c>
      <c r="B25" s="4">
        <v>70</v>
      </c>
      <c r="C25" s="4">
        <v>75</v>
      </c>
      <c r="D25" s="4">
        <v>95</v>
      </c>
      <c r="E25" s="4">
        <v>90</v>
      </c>
      <c r="F25" s="4">
        <v>0</v>
      </c>
      <c r="G25" s="6">
        <f t="shared" si="0"/>
        <v>80.5</v>
      </c>
      <c r="H25" s="42"/>
      <c r="I25" s="6">
        <v>80</v>
      </c>
      <c r="J25" s="6">
        <v>90</v>
      </c>
      <c r="K25" s="6">
        <v>95</v>
      </c>
      <c r="L25" s="6">
        <v>90</v>
      </c>
      <c r="M25" s="6">
        <v>90</v>
      </c>
      <c r="N25" s="6">
        <f t="shared" si="1"/>
        <v>92</v>
      </c>
      <c r="O25" s="43"/>
      <c r="P25" s="6">
        <v>90</v>
      </c>
      <c r="Q25" s="6">
        <v>90</v>
      </c>
      <c r="R25" s="6">
        <v>90</v>
      </c>
      <c r="S25" s="6">
        <v>90</v>
      </c>
      <c r="T25" s="6">
        <v>90</v>
      </c>
      <c r="U25" s="6">
        <f t="shared" si="2"/>
        <v>90</v>
      </c>
      <c r="V25" s="43"/>
      <c r="W25" s="44"/>
      <c r="X25" s="44"/>
      <c r="Y25" s="44"/>
      <c r="Z25" s="44"/>
      <c r="AA25" s="44"/>
      <c r="AB25" s="6">
        <f t="shared" si="3"/>
        <v>0</v>
      </c>
    </row>
    <row r="26" spans="1:28" ht="12" customHeight="1" x14ac:dyDescent="0.25">
      <c r="A26" s="41" t="s">
        <v>23</v>
      </c>
      <c r="B26" s="4">
        <v>95</v>
      </c>
      <c r="C26" s="4">
        <v>95</v>
      </c>
      <c r="D26" s="4">
        <v>90</v>
      </c>
      <c r="E26" s="4">
        <v>90</v>
      </c>
      <c r="F26" s="4">
        <v>95</v>
      </c>
      <c r="G26" s="6">
        <f t="shared" si="0"/>
        <v>91.5</v>
      </c>
      <c r="H26" s="42"/>
      <c r="I26" s="6">
        <v>95</v>
      </c>
      <c r="J26" s="6">
        <v>95</v>
      </c>
      <c r="K26" s="6">
        <v>70</v>
      </c>
      <c r="L26" s="6">
        <v>90</v>
      </c>
      <c r="M26" s="6">
        <v>95</v>
      </c>
      <c r="N26" s="6">
        <f t="shared" si="1"/>
        <v>79.5</v>
      </c>
      <c r="O26" s="43"/>
      <c r="P26" s="6">
        <v>95</v>
      </c>
      <c r="Q26" s="6">
        <v>95</v>
      </c>
      <c r="R26" s="6">
        <v>90</v>
      </c>
      <c r="S26" s="6">
        <v>90</v>
      </c>
      <c r="T26" s="6">
        <v>90</v>
      </c>
      <c r="U26" s="6">
        <f t="shared" si="2"/>
        <v>91</v>
      </c>
      <c r="V26" s="43"/>
      <c r="W26" s="44"/>
      <c r="X26" s="44"/>
      <c r="Y26" s="44"/>
      <c r="Z26" s="44"/>
      <c r="AA26" s="44"/>
      <c r="AB26" s="6">
        <f t="shared" si="3"/>
        <v>0</v>
      </c>
    </row>
    <row r="27" spans="1:28" ht="12" customHeight="1" x14ac:dyDescent="0.25">
      <c r="A27" s="41" t="s">
        <v>71</v>
      </c>
      <c r="B27" s="4">
        <v>85</v>
      </c>
      <c r="C27" s="4">
        <v>90</v>
      </c>
      <c r="D27" s="4">
        <v>90</v>
      </c>
      <c r="E27" s="4">
        <v>90</v>
      </c>
      <c r="F27" s="4">
        <v>0</v>
      </c>
      <c r="G27" s="6">
        <f t="shared" si="0"/>
        <v>80.5</v>
      </c>
      <c r="H27" s="42"/>
      <c r="I27" s="6">
        <v>80</v>
      </c>
      <c r="J27" s="6">
        <v>90</v>
      </c>
      <c r="K27" s="6">
        <v>70</v>
      </c>
      <c r="L27" s="6">
        <v>90</v>
      </c>
      <c r="M27" s="6">
        <v>90</v>
      </c>
      <c r="N27" s="6">
        <f t="shared" si="1"/>
        <v>77</v>
      </c>
      <c r="O27" s="43"/>
      <c r="P27" s="6">
        <v>85</v>
      </c>
      <c r="Q27" s="6">
        <v>85</v>
      </c>
      <c r="R27" s="6">
        <v>90</v>
      </c>
      <c r="S27" s="6">
        <v>90</v>
      </c>
      <c r="T27" s="6">
        <v>0</v>
      </c>
      <c r="U27" s="6">
        <f t="shared" si="2"/>
        <v>80</v>
      </c>
      <c r="V27" s="43"/>
      <c r="W27" s="44"/>
      <c r="X27" s="44"/>
      <c r="Y27" s="44"/>
      <c r="Z27" s="44"/>
      <c r="AA27" s="44"/>
      <c r="AB27" s="6">
        <f t="shared" si="3"/>
        <v>0</v>
      </c>
    </row>
    <row r="28" spans="1:28" ht="12" customHeight="1" x14ac:dyDescent="0.25">
      <c r="A28" s="41" t="s">
        <v>59</v>
      </c>
      <c r="B28" s="4">
        <v>85</v>
      </c>
      <c r="C28" s="4">
        <v>85</v>
      </c>
      <c r="D28" s="4">
        <v>90</v>
      </c>
      <c r="E28" s="4">
        <v>90</v>
      </c>
      <c r="F28" s="5">
        <v>95</v>
      </c>
      <c r="G28" s="6">
        <f t="shared" si="0"/>
        <v>89.5</v>
      </c>
      <c r="H28" s="42"/>
      <c r="I28" s="6">
        <v>85</v>
      </c>
      <c r="J28" s="6">
        <v>85</v>
      </c>
      <c r="K28" s="6">
        <v>90</v>
      </c>
      <c r="L28" s="6">
        <v>90</v>
      </c>
      <c r="M28" s="6">
        <v>0</v>
      </c>
      <c r="N28" s="6">
        <f t="shared" si="1"/>
        <v>80</v>
      </c>
      <c r="O28" s="43"/>
      <c r="P28" s="6">
        <v>85</v>
      </c>
      <c r="Q28" s="6">
        <v>85</v>
      </c>
      <c r="R28" s="6">
        <v>90</v>
      </c>
      <c r="S28" s="6">
        <v>90</v>
      </c>
      <c r="T28" s="6">
        <v>0</v>
      </c>
      <c r="U28" s="6">
        <f t="shared" si="2"/>
        <v>80</v>
      </c>
      <c r="V28" s="43"/>
      <c r="W28" s="44"/>
      <c r="X28" s="44"/>
      <c r="Y28" s="44"/>
      <c r="Z28" s="44"/>
      <c r="AA28" s="44"/>
      <c r="AB28" s="6">
        <f t="shared" si="3"/>
        <v>0</v>
      </c>
    </row>
    <row r="29" spans="1:28" ht="12" customHeight="1" x14ac:dyDescent="0.25">
      <c r="A29" s="41" t="s">
        <v>26</v>
      </c>
      <c r="B29" s="4">
        <v>90</v>
      </c>
      <c r="C29" s="4">
        <v>85</v>
      </c>
      <c r="D29" s="4">
        <v>90</v>
      </c>
      <c r="E29" s="4">
        <v>90</v>
      </c>
      <c r="F29" s="4">
        <v>0</v>
      </c>
      <c r="G29" s="6">
        <f t="shared" si="0"/>
        <v>80.5</v>
      </c>
      <c r="H29" s="42"/>
      <c r="I29" s="6">
        <v>90</v>
      </c>
      <c r="J29" s="6">
        <v>90</v>
      </c>
      <c r="K29" s="6">
        <v>90</v>
      </c>
      <c r="L29" s="6">
        <v>90</v>
      </c>
      <c r="M29" s="6">
        <v>85</v>
      </c>
      <c r="N29" s="6">
        <f t="shared" si="1"/>
        <v>89.5</v>
      </c>
      <c r="O29" s="43"/>
      <c r="P29" s="6">
        <v>90</v>
      </c>
      <c r="Q29" s="6">
        <v>85</v>
      </c>
      <c r="R29" s="6">
        <v>80</v>
      </c>
      <c r="S29" s="6">
        <v>90</v>
      </c>
      <c r="T29" s="6">
        <v>90</v>
      </c>
      <c r="U29" s="6">
        <f t="shared" si="2"/>
        <v>83.5</v>
      </c>
      <c r="V29" s="43"/>
      <c r="W29" s="44"/>
      <c r="X29" s="44"/>
      <c r="Y29" s="44"/>
      <c r="Z29" s="44"/>
      <c r="AA29" s="44"/>
      <c r="AB29" s="6">
        <f t="shared" si="3"/>
        <v>0</v>
      </c>
    </row>
    <row r="30" spans="1:28" ht="12" customHeight="1" x14ac:dyDescent="0.25">
      <c r="A30" s="41" t="s">
        <v>32</v>
      </c>
      <c r="B30" s="4">
        <v>40</v>
      </c>
      <c r="C30" s="4">
        <v>80</v>
      </c>
      <c r="D30" s="4">
        <v>90</v>
      </c>
      <c r="E30" s="4">
        <v>90</v>
      </c>
      <c r="F30" s="4">
        <v>0</v>
      </c>
      <c r="G30" s="6">
        <f t="shared" si="0"/>
        <v>75</v>
      </c>
      <c r="H30" s="42"/>
      <c r="I30" s="6">
        <v>90</v>
      </c>
      <c r="J30" s="6">
        <v>90</v>
      </c>
      <c r="K30" s="6">
        <v>70</v>
      </c>
      <c r="L30" s="6">
        <v>90</v>
      </c>
      <c r="M30" s="6">
        <v>90</v>
      </c>
      <c r="N30" s="6">
        <f t="shared" si="1"/>
        <v>78</v>
      </c>
      <c r="O30" s="43"/>
      <c r="P30" s="6">
        <v>90</v>
      </c>
      <c r="Q30" s="6">
        <v>85</v>
      </c>
      <c r="R30" s="6">
        <v>85</v>
      </c>
      <c r="S30" s="6">
        <v>90</v>
      </c>
      <c r="T30" s="6">
        <v>90</v>
      </c>
      <c r="U30" s="6">
        <f t="shared" si="2"/>
        <v>86.5</v>
      </c>
      <c r="V30" s="43"/>
      <c r="W30" s="44"/>
      <c r="X30" s="44"/>
      <c r="Y30" s="44"/>
      <c r="Z30" s="44"/>
      <c r="AA30" s="44"/>
      <c r="AB30" s="6">
        <f t="shared" si="3"/>
        <v>0</v>
      </c>
    </row>
    <row r="31" spans="1:28" ht="12" customHeight="1" x14ac:dyDescent="0.25">
      <c r="A31" s="41" t="s">
        <v>48</v>
      </c>
      <c r="B31" s="4">
        <v>90</v>
      </c>
      <c r="C31" s="4">
        <v>85</v>
      </c>
      <c r="D31" s="4">
        <v>90</v>
      </c>
      <c r="E31" s="4">
        <v>90</v>
      </c>
      <c r="F31" s="4">
        <v>0</v>
      </c>
      <c r="G31" s="6">
        <f t="shared" si="0"/>
        <v>80.5</v>
      </c>
      <c r="H31" s="42"/>
      <c r="I31" s="6">
        <v>90</v>
      </c>
      <c r="J31" s="6">
        <v>90</v>
      </c>
      <c r="K31" s="6">
        <v>95</v>
      </c>
      <c r="L31" s="6">
        <v>90</v>
      </c>
      <c r="M31" s="6">
        <v>95</v>
      </c>
      <c r="N31" s="6">
        <f t="shared" si="1"/>
        <v>93.5</v>
      </c>
      <c r="O31" s="43"/>
      <c r="P31" s="6">
        <v>95</v>
      </c>
      <c r="Q31" s="6">
        <v>95</v>
      </c>
      <c r="R31" s="6">
        <v>95</v>
      </c>
      <c r="S31" s="6">
        <v>90</v>
      </c>
      <c r="T31" s="6">
        <v>90</v>
      </c>
      <c r="U31" s="6">
        <f t="shared" si="2"/>
        <v>94</v>
      </c>
      <c r="V31" s="43"/>
      <c r="W31" s="44"/>
      <c r="X31" s="44"/>
      <c r="Y31" s="44"/>
      <c r="Z31" s="44"/>
      <c r="AA31" s="44"/>
      <c r="AB31" s="6">
        <f t="shared" si="3"/>
        <v>0</v>
      </c>
    </row>
    <row r="32" spans="1:28" ht="12" customHeight="1" x14ac:dyDescent="0.25">
      <c r="A32" s="41" t="s">
        <v>49</v>
      </c>
      <c r="B32" s="4">
        <v>80</v>
      </c>
      <c r="C32" s="4">
        <v>90</v>
      </c>
      <c r="D32" s="4">
        <v>70</v>
      </c>
      <c r="E32" s="4">
        <v>90</v>
      </c>
      <c r="F32" s="4">
        <v>0</v>
      </c>
      <c r="G32" s="6">
        <f t="shared" si="0"/>
        <v>68</v>
      </c>
      <c r="H32" s="42"/>
      <c r="I32" s="6">
        <v>80</v>
      </c>
      <c r="J32" s="6">
        <v>90</v>
      </c>
      <c r="K32" s="6">
        <v>90</v>
      </c>
      <c r="L32" s="6">
        <v>90</v>
      </c>
      <c r="M32" s="6">
        <v>0</v>
      </c>
      <c r="N32" s="6">
        <f t="shared" si="1"/>
        <v>80</v>
      </c>
      <c r="O32" s="43"/>
      <c r="P32" s="6">
        <v>80</v>
      </c>
      <c r="Q32" s="6">
        <v>90</v>
      </c>
      <c r="R32" s="6">
        <v>90</v>
      </c>
      <c r="S32" s="6">
        <v>90</v>
      </c>
      <c r="T32" s="6">
        <v>80</v>
      </c>
      <c r="U32" s="6">
        <f t="shared" si="2"/>
        <v>88</v>
      </c>
      <c r="V32" s="43"/>
      <c r="W32" s="44"/>
      <c r="X32" s="44"/>
      <c r="Y32" s="44"/>
      <c r="Z32" s="44"/>
      <c r="AA32" s="44"/>
      <c r="AB32" s="6">
        <f t="shared" si="3"/>
        <v>0</v>
      </c>
    </row>
    <row r="33" spans="1:28" ht="12" customHeight="1" x14ac:dyDescent="0.25">
      <c r="A33" s="41" t="s">
        <v>50</v>
      </c>
      <c r="B33" s="4">
        <v>80</v>
      </c>
      <c r="C33" s="4">
        <v>85</v>
      </c>
      <c r="D33" s="4">
        <v>85</v>
      </c>
      <c r="E33" s="4">
        <v>90</v>
      </c>
      <c r="F33" s="4">
        <v>85</v>
      </c>
      <c r="G33" s="6">
        <f t="shared" si="0"/>
        <v>85</v>
      </c>
      <c r="H33" s="42"/>
      <c r="I33" s="6">
        <v>90</v>
      </c>
      <c r="J33" s="6">
        <v>85</v>
      </c>
      <c r="K33" s="6">
        <v>70</v>
      </c>
      <c r="L33" s="6">
        <v>90</v>
      </c>
      <c r="M33" s="6">
        <v>90</v>
      </c>
      <c r="N33" s="6">
        <f t="shared" si="1"/>
        <v>77.5</v>
      </c>
      <c r="O33" s="43"/>
      <c r="P33" s="6">
        <v>90</v>
      </c>
      <c r="Q33" s="6">
        <v>85</v>
      </c>
      <c r="R33" s="6">
        <v>85</v>
      </c>
      <c r="S33" s="6">
        <v>90</v>
      </c>
      <c r="T33" s="6">
        <v>80</v>
      </c>
      <c r="U33" s="6">
        <f t="shared" si="2"/>
        <v>85.5</v>
      </c>
      <c r="V33" s="43"/>
      <c r="W33" s="44"/>
      <c r="X33" s="44"/>
      <c r="Y33" s="44"/>
      <c r="Z33" s="44"/>
      <c r="AA33" s="44"/>
      <c r="AB33" s="6">
        <f t="shared" si="3"/>
        <v>0</v>
      </c>
    </row>
    <row r="34" spans="1:28" ht="12" customHeight="1" x14ac:dyDescent="0.25">
      <c r="A34" s="41" t="s">
        <v>51</v>
      </c>
      <c r="B34" s="4">
        <v>90</v>
      </c>
      <c r="C34" s="4">
        <v>90</v>
      </c>
      <c r="D34" s="4">
        <v>90</v>
      </c>
      <c r="E34" s="4">
        <v>90</v>
      </c>
      <c r="F34" s="4">
        <v>0</v>
      </c>
      <c r="G34" s="6">
        <f t="shared" si="0"/>
        <v>81</v>
      </c>
      <c r="H34" s="42"/>
      <c r="I34" s="6">
        <v>90</v>
      </c>
      <c r="J34" s="6">
        <v>90</v>
      </c>
      <c r="K34" s="6">
        <v>90</v>
      </c>
      <c r="L34" s="6">
        <v>90</v>
      </c>
      <c r="M34" s="6">
        <v>0</v>
      </c>
      <c r="N34" s="6">
        <f t="shared" si="1"/>
        <v>81</v>
      </c>
      <c r="O34" s="43"/>
      <c r="P34" s="6">
        <v>90</v>
      </c>
      <c r="Q34" s="6">
        <v>90</v>
      </c>
      <c r="R34" s="6">
        <v>95</v>
      </c>
      <c r="S34" s="6">
        <v>90</v>
      </c>
      <c r="T34" s="6">
        <v>0</v>
      </c>
      <c r="U34" s="6">
        <f t="shared" si="2"/>
        <v>84</v>
      </c>
      <c r="V34" s="43"/>
      <c r="W34" s="44"/>
      <c r="X34" s="44"/>
      <c r="Y34" s="44"/>
      <c r="Z34" s="44"/>
      <c r="AA34" s="44"/>
      <c r="AB34" s="6">
        <f t="shared" si="3"/>
        <v>0</v>
      </c>
    </row>
    <row r="35" spans="1:28" ht="12" customHeight="1" x14ac:dyDescent="0.25">
      <c r="A35" s="41" t="s">
        <v>52</v>
      </c>
      <c r="B35" s="4"/>
      <c r="C35" s="4"/>
      <c r="D35" s="4"/>
      <c r="E35" s="4"/>
      <c r="F35" s="4"/>
      <c r="G35" s="6">
        <f t="shared" si="0"/>
        <v>0</v>
      </c>
      <c r="H35" s="42"/>
      <c r="I35" s="6"/>
      <c r="J35" s="6"/>
      <c r="K35" s="6"/>
      <c r="L35" s="6"/>
      <c r="M35" s="6"/>
      <c r="N35" s="6">
        <f t="shared" si="1"/>
        <v>0</v>
      </c>
      <c r="O35" s="43"/>
      <c r="P35" s="6"/>
      <c r="Q35" s="6"/>
      <c r="R35" s="6"/>
      <c r="S35" s="6"/>
      <c r="T35" s="6"/>
      <c r="U35" s="6">
        <f t="shared" si="2"/>
        <v>0</v>
      </c>
      <c r="V35" s="43"/>
      <c r="W35" s="44"/>
      <c r="X35" s="44"/>
      <c r="Y35" s="44"/>
      <c r="Z35" s="44"/>
      <c r="AA35" s="44"/>
      <c r="AB35" s="6">
        <f t="shared" si="3"/>
        <v>0</v>
      </c>
    </row>
    <row r="36" spans="1:28" ht="12" customHeight="1" x14ac:dyDescent="0.25">
      <c r="A36" s="41" t="s">
        <v>62</v>
      </c>
      <c r="B36" s="4">
        <v>75</v>
      </c>
      <c r="C36" s="4">
        <v>80</v>
      </c>
      <c r="D36" s="4">
        <v>85</v>
      </c>
      <c r="E36" s="4">
        <v>90</v>
      </c>
      <c r="F36" s="4">
        <v>0</v>
      </c>
      <c r="G36" s="6">
        <f t="shared" si="0"/>
        <v>75.5</v>
      </c>
      <c r="H36" s="42"/>
      <c r="I36" s="6">
        <v>70</v>
      </c>
      <c r="J36" s="6">
        <v>80</v>
      </c>
      <c r="K36" s="6">
        <v>0</v>
      </c>
      <c r="L36" s="6">
        <v>90</v>
      </c>
      <c r="M36" s="6">
        <v>0</v>
      </c>
      <c r="N36" s="6">
        <f t="shared" si="1"/>
        <v>24</v>
      </c>
      <c r="O36" s="43"/>
      <c r="P36" s="6">
        <v>60</v>
      </c>
      <c r="Q36" s="6">
        <v>60</v>
      </c>
      <c r="R36" s="6">
        <v>70</v>
      </c>
      <c r="S36" s="6">
        <v>90</v>
      </c>
      <c r="T36" s="6">
        <v>0</v>
      </c>
      <c r="U36" s="6">
        <f t="shared" si="2"/>
        <v>63</v>
      </c>
      <c r="V36" s="43"/>
      <c r="W36" s="44"/>
      <c r="X36" s="44"/>
      <c r="Y36" s="44"/>
      <c r="Z36" s="44"/>
      <c r="AA36" s="44"/>
      <c r="AB36" s="6">
        <f t="shared" si="3"/>
        <v>0</v>
      </c>
    </row>
    <row r="37" spans="1:28" ht="12" customHeight="1" x14ac:dyDescent="0.25">
      <c r="A37" s="45" t="s">
        <v>69</v>
      </c>
      <c r="B37" s="4"/>
      <c r="C37" s="4"/>
      <c r="D37" s="4"/>
      <c r="E37" s="4"/>
      <c r="F37" s="4"/>
      <c r="G37" s="6">
        <f t="shared" ref="G37:G39" si="4">SUM(B37*0.1,C37*0.1,D37*0.6,E37*0.1,F37*0.1)</f>
        <v>0</v>
      </c>
      <c r="H37" s="42"/>
      <c r="I37" s="6"/>
      <c r="J37" s="6"/>
      <c r="K37" s="6"/>
      <c r="L37" s="6"/>
      <c r="M37" s="6"/>
      <c r="N37" s="6">
        <f t="shared" ref="N37:N39" si="5">SUM(I37*0.1,J37*0.1,K37*0.6,L37*0.1,M37*0.1)</f>
        <v>0</v>
      </c>
      <c r="O37" s="43"/>
      <c r="P37" s="6"/>
      <c r="Q37" s="6"/>
      <c r="R37" s="6"/>
      <c r="S37" s="6"/>
      <c r="T37" s="6"/>
      <c r="U37" s="6">
        <f t="shared" si="2"/>
        <v>0</v>
      </c>
      <c r="V37" s="43"/>
      <c r="W37" s="44"/>
      <c r="X37" s="44"/>
      <c r="Y37" s="44"/>
      <c r="Z37" s="44"/>
      <c r="AA37" s="44"/>
      <c r="AB37" s="6">
        <f t="shared" si="3"/>
        <v>0</v>
      </c>
    </row>
    <row r="38" spans="1:28" ht="12" customHeight="1" x14ac:dyDescent="0.25">
      <c r="A38" s="45" t="s">
        <v>72</v>
      </c>
      <c r="B38" s="4">
        <v>80</v>
      </c>
      <c r="C38" s="4">
        <v>80</v>
      </c>
      <c r="D38" s="4">
        <v>90</v>
      </c>
      <c r="E38" s="4">
        <v>90</v>
      </c>
      <c r="F38" s="4">
        <v>0</v>
      </c>
      <c r="G38" s="6">
        <f t="shared" si="4"/>
        <v>79</v>
      </c>
      <c r="H38" s="42"/>
      <c r="I38" s="4">
        <v>80</v>
      </c>
      <c r="J38" s="4">
        <v>80</v>
      </c>
      <c r="K38" s="4">
        <v>70</v>
      </c>
      <c r="L38" s="4">
        <v>90</v>
      </c>
      <c r="M38" s="4">
        <v>0</v>
      </c>
      <c r="N38" s="6">
        <f t="shared" si="5"/>
        <v>67</v>
      </c>
      <c r="O38" s="43"/>
      <c r="P38" s="6">
        <v>60</v>
      </c>
      <c r="Q38" s="6">
        <v>60</v>
      </c>
      <c r="R38" s="6">
        <v>60</v>
      </c>
      <c r="S38" s="6">
        <v>90</v>
      </c>
      <c r="T38" s="6">
        <v>0</v>
      </c>
      <c r="U38" s="6">
        <f t="shared" si="2"/>
        <v>57</v>
      </c>
      <c r="V38" s="43"/>
      <c r="W38" s="44"/>
      <c r="X38" s="44"/>
      <c r="Y38" s="44"/>
      <c r="Z38" s="44"/>
      <c r="AA38" s="44"/>
      <c r="AB38" s="6">
        <f t="shared" si="3"/>
        <v>0</v>
      </c>
    </row>
    <row r="39" spans="1:28" ht="12" customHeight="1" x14ac:dyDescent="0.25">
      <c r="A39" s="45" t="s">
        <v>73</v>
      </c>
      <c r="B39" s="4"/>
      <c r="C39" s="4"/>
      <c r="D39" s="4"/>
      <c r="E39" s="4"/>
      <c r="F39" s="4"/>
      <c r="G39" s="6">
        <f t="shared" si="4"/>
        <v>0</v>
      </c>
      <c r="H39" s="42"/>
      <c r="I39" s="6"/>
      <c r="J39" s="6"/>
      <c r="K39" s="6"/>
      <c r="L39" s="6"/>
      <c r="M39" s="6"/>
      <c r="N39" s="6">
        <f t="shared" si="5"/>
        <v>0</v>
      </c>
      <c r="O39" s="43"/>
      <c r="P39" s="6"/>
      <c r="Q39" s="6"/>
      <c r="R39" s="6"/>
      <c r="S39" s="6"/>
      <c r="T39" s="6"/>
      <c r="U39" s="6">
        <f t="shared" si="2"/>
        <v>0</v>
      </c>
      <c r="V39" s="43"/>
      <c r="W39" s="44"/>
      <c r="X39" s="44"/>
      <c r="Y39" s="44"/>
      <c r="Z39" s="44"/>
      <c r="AA39" s="44"/>
      <c r="AB39" s="6">
        <f t="shared" si="3"/>
        <v>0</v>
      </c>
    </row>
    <row r="40" spans="1:28" ht="12" customHeight="1" x14ac:dyDescent="0.25">
      <c r="A40" s="45" t="s">
        <v>77</v>
      </c>
      <c r="B40" s="46"/>
      <c r="C40" s="46"/>
      <c r="D40" s="46"/>
      <c r="E40" s="46"/>
      <c r="F40" s="46"/>
      <c r="G40" s="46"/>
      <c r="H40" s="46"/>
      <c r="I40" s="46"/>
      <c r="J40" s="46"/>
      <c r="K40" s="46"/>
      <c r="L40" s="46"/>
      <c r="M40" s="46"/>
      <c r="N40" s="46"/>
      <c r="O40" s="46"/>
      <c r="P40" s="46"/>
      <c r="Q40" s="46"/>
      <c r="R40" s="46"/>
      <c r="S40" s="46"/>
      <c r="T40" s="46"/>
      <c r="U40" s="46"/>
      <c r="V40" s="46"/>
      <c r="W40" s="46"/>
      <c r="X40" s="46"/>
      <c r="Y40" s="46"/>
      <c r="Z40" s="46"/>
      <c r="AA40" s="46"/>
      <c r="AB40" s="46"/>
    </row>
  </sheetData>
  <mergeCells count="4">
    <mergeCell ref="B1:G1"/>
    <mergeCell ref="I1:N1"/>
    <mergeCell ref="P1:U1"/>
    <mergeCell ref="W1:AB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40"/>
  <sheetViews>
    <sheetView workbookViewId="0">
      <selection activeCell="A45" sqref="A45"/>
    </sheetView>
  </sheetViews>
  <sheetFormatPr baseColWidth="10" defaultRowHeight="15" x14ac:dyDescent="0.25"/>
  <cols>
    <col min="1" max="1" width="40.85546875" customWidth="1"/>
    <col min="2" max="12" width="5.7109375" customWidth="1"/>
  </cols>
  <sheetData>
    <row r="1" spans="1:12" x14ac:dyDescent="0.25">
      <c r="A1" s="7"/>
      <c r="B1" s="7"/>
      <c r="C1" s="7"/>
      <c r="D1" s="7"/>
      <c r="E1" s="7"/>
      <c r="F1" s="7"/>
      <c r="G1" s="7"/>
    </row>
    <row r="2" spans="1:12" x14ac:dyDescent="0.25">
      <c r="A2" s="8" t="s">
        <v>31</v>
      </c>
      <c r="B2" s="9" t="s">
        <v>33</v>
      </c>
      <c r="C2" s="9" t="s">
        <v>34</v>
      </c>
      <c r="D2" s="9" t="s">
        <v>35</v>
      </c>
      <c r="E2" s="9" t="s">
        <v>66</v>
      </c>
      <c r="F2" s="9" t="s">
        <v>67</v>
      </c>
      <c r="G2" s="9" t="s">
        <v>68</v>
      </c>
      <c r="H2" s="1"/>
      <c r="I2" s="1"/>
      <c r="J2" s="2"/>
      <c r="K2" s="2"/>
      <c r="L2" s="2"/>
    </row>
    <row r="3" spans="1:12" ht="12" customHeight="1" x14ac:dyDescent="0.25">
      <c r="A3" s="49" t="s">
        <v>0</v>
      </c>
      <c r="B3" s="50">
        <v>1</v>
      </c>
      <c r="C3" s="50">
        <v>1</v>
      </c>
      <c r="D3" s="50">
        <v>1</v>
      </c>
      <c r="E3" s="50"/>
      <c r="F3" s="50"/>
      <c r="G3" s="50"/>
      <c r="H3" s="52"/>
      <c r="I3" s="52"/>
    </row>
    <row r="4" spans="1:12" ht="12" customHeight="1" x14ac:dyDescent="0.25">
      <c r="A4" s="49" t="s">
        <v>1</v>
      </c>
      <c r="B4" s="50">
        <v>1</v>
      </c>
      <c r="C4" s="50">
        <v>1</v>
      </c>
      <c r="D4" s="50">
        <v>1</v>
      </c>
      <c r="E4" s="50"/>
      <c r="F4" s="50"/>
      <c r="G4" s="50"/>
      <c r="H4" s="52"/>
      <c r="I4" s="52"/>
    </row>
    <row r="5" spans="1:12" ht="12" customHeight="1" x14ac:dyDescent="0.25">
      <c r="A5" s="49" t="s">
        <v>2</v>
      </c>
      <c r="B5" s="50">
        <v>1</v>
      </c>
      <c r="C5" s="50">
        <v>1</v>
      </c>
      <c r="D5" s="50">
        <v>1</v>
      </c>
      <c r="E5" s="50"/>
      <c r="F5" s="50"/>
      <c r="G5" s="50"/>
      <c r="H5" s="52"/>
      <c r="I5" s="52"/>
    </row>
    <row r="6" spans="1:12" ht="12" customHeight="1" x14ac:dyDescent="0.25">
      <c r="A6" s="49" t="s">
        <v>3</v>
      </c>
      <c r="B6" s="50">
        <v>1</v>
      </c>
      <c r="C6" s="50">
        <v>1</v>
      </c>
      <c r="D6" s="50">
        <v>1</v>
      </c>
      <c r="E6" s="50"/>
      <c r="F6" s="50"/>
      <c r="G6" s="50"/>
      <c r="H6" s="52"/>
      <c r="I6" s="52"/>
    </row>
    <row r="7" spans="1:12" ht="12" customHeight="1" x14ac:dyDescent="0.25">
      <c r="A7" s="49" t="s">
        <v>4</v>
      </c>
      <c r="B7" s="50">
        <v>1</v>
      </c>
      <c r="C7" s="50">
        <v>1</v>
      </c>
      <c r="D7" s="50">
        <v>1</v>
      </c>
      <c r="E7" s="50"/>
      <c r="F7" s="50"/>
      <c r="G7" s="50"/>
      <c r="H7" s="52"/>
      <c r="I7" s="52"/>
    </row>
    <row r="8" spans="1:12" ht="12" customHeight="1" x14ac:dyDescent="0.25">
      <c r="A8" s="49" t="s">
        <v>5</v>
      </c>
      <c r="B8" s="50">
        <v>1</v>
      </c>
      <c r="C8" s="50">
        <v>1</v>
      </c>
      <c r="D8" s="50">
        <v>1</v>
      </c>
      <c r="E8" s="50"/>
      <c r="F8" s="50"/>
      <c r="G8" s="50"/>
      <c r="H8" s="52"/>
      <c r="I8" s="52"/>
    </row>
    <row r="9" spans="1:12" ht="12" customHeight="1" x14ac:dyDescent="0.25">
      <c r="A9" s="49" t="s">
        <v>6</v>
      </c>
      <c r="B9" s="50">
        <v>1</v>
      </c>
      <c r="C9" s="50">
        <v>1</v>
      </c>
      <c r="D9" s="50">
        <v>1</v>
      </c>
      <c r="E9" s="50"/>
      <c r="F9" s="50"/>
      <c r="G9" s="50"/>
      <c r="H9" s="52"/>
      <c r="I9" s="52"/>
    </row>
    <row r="10" spans="1:12" ht="12" customHeight="1" x14ac:dyDescent="0.25">
      <c r="A10" s="49" t="s">
        <v>7</v>
      </c>
      <c r="B10" s="50">
        <v>1</v>
      </c>
      <c r="C10" s="50">
        <v>1</v>
      </c>
      <c r="D10" s="50">
        <v>1</v>
      </c>
      <c r="E10" s="50"/>
      <c r="F10" s="50"/>
      <c r="G10" s="50"/>
      <c r="H10" s="52"/>
      <c r="I10" s="52"/>
    </row>
    <row r="11" spans="1:12" ht="12" customHeight="1" x14ac:dyDescent="0.25">
      <c r="A11" s="49" t="s">
        <v>9</v>
      </c>
      <c r="B11" s="50">
        <v>1</v>
      </c>
      <c r="C11" s="50">
        <v>1</v>
      </c>
      <c r="D11" s="50">
        <v>1</v>
      </c>
      <c r="E11" s="50"/>
      <c r="F11" s="50"/>
      <c r="G11" s="50"/>
      <c r="H11" s="52"/>
      <c r="I11" s="52"/>
    </row>
    <row r="12" spans="1:12" ht="12" customHeight="1" x14ac:dyDescent="0.25">
      <c r="A12" s="49" t="s">
        <v>10</v>
      </c>
      <c r="B12" s="50">
        <v>1</v>
      </c>
      <c r="C12" s="50">
        <v>1</v>
      </c>
      <c r="D12" s="50">
        <v>1</v>
      </c>
      <c r="E12" s="50"/>
      <c r="F12" s="50"/>
      <c r="G12" s="50"/>
      <c r="H12" s="52"/>
      <c r="I12" s="52"/>
    </row>
    <row r="13" spans="1:12" ht="12" customHeight="1" x14ac:dyDescent="0.25">
      <c r="A13" s="49" t="s">
        <v>11</v>
      </c>
      <c r="B13" s="50">
        <v>1</v>
      </c>
      <c r="C13" s="50">
        <v>1</v>
      </c>
      <c r="D13" s="50">
        <v>1</v>
      </c>
      <c r="E13" s="50"/>
      <c r="F13" s="50"/>
      <c r="G13" s="50"/>
      <c r="H13" s="52"/>
      <c r="I13" s="52"/>
    </row>
    <row r="14" spans="1:12" ht="12" customHeight="1" x14ac:dyDescent="0.25">
      <c r="A14" s="49" t="s">
        <v>12</v>
      </c>
      <c r="B14" s="50">
        <v>1</v>
      </c>
      <c r="C14" s="50">
        <v>1</v>
      </c>
      <c r="D14" s="50">
        <v>0</v>
      </c>
      <c r="E14" s="50"/>
      <c r="F14" s="50"/>
      <c r="G14" s="50"/>
      <c r="H14" s="52"/>
      <c r="I14" s="52"/>
    </row>
    <row r="15" spans="1:12" ht="12" customHeight="1" x14ac:dyDescent="0.25">
      <c r="A15" s="49" t="s">
        <v>13</v>
      </c>
      <c r="B15" s="50">
        <v>1</v>
      </c>
      <c r="C15" s="50">
        <v>1</v>
      </c>
      <c r="D15" s="50">
        <v>0</v>
      </c>
      <c r="E15" s="50"/>
      <c r="F15" s="50"/>
      <c r="G15" s="50"/>
      <c r="H15" s="52"/>
      <c r="I15" s="52"/>
    </row>
    <row r="16" spans="1:12" ht="12" customHeight="1" x14ac:dyDescent="0.25">
      <c r="A16" s="49" t="s">
        <v>14</v>
      </c>
      <c r="B16" s="50">
        <v>1</v>
      </c>
      <c r="C16" s="50">
        <v>1</v>
      </c>
      <c r="D16" s="50">
        <v>1</v>
      </c>
      <c r="E16" s="50"/>
      <c r="F16" s="50"/>
      <c r="G16" s="50"/>
      <c r="H16" s="52"/>
      <c r="I16" s="52"/>
    </row>
    <row r="17" spans="1:9" ht="12" customHeight="1" x14ac:dyDescent="0.25">
      <c r="A17" s="49" t="s">
        <v>15</v>
      </c>
      <c r="B17" s="50">
        <v>1</v>
      </c>
      <c r="C17" s="50">
        <v>1</v>
      </c>
      <c r="D17" s="50">
        <v>0</v>
      </c>
      <c r="E17" s="50"/>
      <c r="F17" s="50"/>
      <c r="G17" s="50"/>
      <c r="H17" s="52"/>
      <c r="I17" s="52"/>
    </row>
    <row r="18" spans="1:9" ht="12" customHeight="1" x14ac:dyDescent="0.25">
      <c r="A18" s="49" t="s">
        <v>16</v>
      </c>
      <c r="B18" s="50">
        <v>1</v>
      </c>
      <c r="C18" s="50">
        <v>1</v>
      </c>
      <c r="D18" s="50">
        <v>1</v>
      </c>
      <c r="E18" s="50"/>
      <c r="F18" s="50"/>
      <c r="G18" s="50"/>
      <c r="H18" s="52"/>
      <c r="I18" s="52"/>
    </row>
    <row r="19" spans="1:9" ht="12" customHeight="1" x14ac:dyDescent="0.25">
      <c r="A19" s="49" t="s">
        <v>17</v>
      </c>
      <c r="B19" s="50">
        <v>1</v>
      </c>
      <c r="C19" s="50">
        <v>1</v>
      </c>
      <c r="D19" s="50">
        <v>1</v>
      </c>
      <c r="E19" s="50"/>
      <c r="F19" s="50"/>
      <c r="G19" s="50"/>
      <c r="H19" s="52"/>
      <c r="I19" s="52"/>
    </row>
    <row r="20" spans="1:9" ht="12" customHeight="1" x14ac:dyDescent="0.25">
      <c r="A20" s="49" t="s">
        <v>60</v>
      </c>
      <c r="B20" s="50">
        <v>1</v>
      </c>
      <c r="C20" s="50">
        <v>1</v>
      </c>
      <c r="D20" s="50">
        <v>0</v>
      </c>
      <c r="E20" s="50"/>
      <c r="F20" s="50"/>
      <c r="G20" s="50"/>
      <c r="H20" s="52"/>
      <c r="I20" s="52"/>
    </row>
    <row r="21" spans="1:9" ht="12" customHeight="1" x14ac:dyDescent="0.25">
      <c r="A21" s="49" t="s">
        <v>18</v>
      </c>
      <c r="B21" s="50">
        <v>1</v>
      </c>
      <c r="C21" s="50">
        <v>1</v>
      </c>
      <c r="D21" s="50">
        <v>1</v>
      </c>
      <c r="E21" s="50"/>
      <c r="F21" s="50"/>
      <c r="G21" s="50"/>
      <c r="H21" s="52"/>
      <c r="I21" s="52"/>
    </row>
    <row r="22" spans="1:9" ht="12" customHeight="1" x14ac:dyDescent="0.25">
      <c r="A22" s="49" t="s">
        <v>19</v>
      </c>
      <c r="B22" s="50">
        <v>1</v>
      </c>
      <c r="C22" s="50">
        <v>1</v>
      </c>
      <c r="D22" s="50">
        <v>1</v>
      </c>
      <c r="E22" s="50"/>
      <c r="F22" s="50"/>
      <c r="G22" s="50"/>
      <c r="H22" s="52"/>
      <c r="I22" s="52"/>
    </row>
    <row r="23" spans="1:9" ht="12" customHeight="1" x14ac:dyDescent="0.25">
      <c r="A23" s="49" t="s">
        <v>20</v>
      </c>
      <c r="B23" s="50">
        <v>1</v>
      </c>
      <c r="C23" s="50">
        <v>1</v>
      </c>
      <c r="D23" s="50">
        <v>1</v>
      </c>
      <c r="E23" s="50"/>
      <c r="F23" s="50"/>
      <c r="G23" s="50"/>
      <c r="H23" s="52"/>
      <c r="I23" s="52"/>
    </row>
    <row r="24" spans="1:9" ht="12" customHeight="1" x14ac:dyDescent="0.25">
      <c r="A24" s="49" t="s">
        <v>21</v>
      </c>
      <c r="B24" s="50">
        <v>1</v>
      </c>
      <c r="C24" s="50">
        <v>0</v>
      </c>
      <c r="D24" s="50">
        <v>1</v>
      </c>
      <c r="E24" s="50"/>
      <c r="F24" s="50"/>
      <c r="G24" s="50"/>
      <c r="H24" s="52"/>
      <c r="I24" s="52"/>
    </row>
    <row r="25" spans="1:9" ht="12" customHeight="1" x14ac:dyDescent="0.25">
      <c r="A25" s="49" t="s">
        <v>22</v>
      </c>
      <c r="B25" s="50">
        <v>1</v>
      </c>
      <c r="C25" s="50">
        <v>1</v>
      </c>
      <c r="D25" s="50">
        <v>1</v>
      </c>
      <c r="E25" s="50"/>
      <c r="F25" s="50"/>
      <c r="G25" s="50"/>
      <c r="H25" s="52"/>
      <c r="I25" s="52"/>
    </row>
    <row r="26" spans="1:9" ht="12" customHeight="1" x14ac:dyDescent="0.25">
      <c r="A26" s="49" t="s">
        <v>23</v>
      </c>
      <c r="B26" s="50">
        <v>1</v>
      </c>
      <c r="C26" s="50">
        <v>1</v>
      </c>
      <c r="D26" s="50">
        <v>0</v>
      </c>
      <c r="E26" s="50"/>
      <c r="F26" s="50"/>
      <c r="G26" s="50"/>
      <c r="H26" s="52"/>
      <c r="I26" s="52"/>
    </row>
    <row r="27" spans="1:9" ht="12" customHeight="1" x14ac:dyDescent="0.25">
      <c r="A27" s="49" t="s">
        <v>24</v>
      </c>
      <c r="B27" s="50">
        <v>1</v>
      </c>
      <c r="C27" s="50">
        <v>1</v>
      </c>
      <c r="D27" s="50">
        <v>1</v>
      </c>
      <c r="E27" s="50"/>
      <c r="F27" s="50"/>
      <c r="G27" s="50"/>
      <c r="H27" s="52"/>
      <c r="I27" s="52"/>
    </row>
    <row r="28" spans="1:9" ht="12" customHeight="1" x14ac:dyDescent="0.25">
      <c r="A28" s="49" t="s">
        <v>25</v>
      </c>
      <c r="B28" s="50">
        <v>1</v>
      </c>
      <c r="C28" s="50">
        <v>1</v>
      </c>
      <c r="D28" s="50">
        <v>1</v>
      </c>
      <c r="E28" s="50"/>
      <c r="F28" s="50"/>
      <c r="G28" s="50"/>
      <c r="H28" s="52"/>
      <c r="I28" s="52"/>
    </row>
    <row r="29" spans="1:9" ht="12" customHeight="1" x14ac:dyDescent="0.25">
      <c r="A29" s="49" t="s">
        <v>26</v>
      </c>
      <c r="B29" s="50">
        <v>1</v>
      </c>
      <c r="C29" s="50">
        <v>1</v>
      </c>
      <c r="D29" s="50">
        <v>1</v>
      </c>
      <c r="E29" s="50"/>
      <c r="F29" s="50"/>
      <c r="G29" s="50"/>
      <c r="H29" s="52"/>
      <c r="I29" s="52"/>
    </row>
    <row r="30" spans="1:9" ht="12" customHeight="1" x14ac:dyDescent="0.25">
      <c r="A30" s="49" t="s">
        <v>32</v>
      </c>
      <c r="B30" s="50">
        <v>0</v>
      </c>
      <c r="C30" s="50">
        <v>1</v>
      </c>
      <c r="D30" s="50">
        <v>1</v>
      </c>
      <c r="E30" s="50"/>
      <c r="F30" s="50"/>
      <c r="G30" s="50"/>
      <c r="H30" s="52"/>
      <c r="I30" s="52"/>
    </row>
    <row r="31" spans="1:9" ht="12" customHeight="1" x14ac:dyDescent="0.25">
      <c r="A31" s="49" t="s">
        <v>48</v>
      </c>
      <c r="B31" s="50">
        <v>0</v>
      </c>
      <c r="C31" s="50">
        <v>1</v>
      </c>
      <c r="D31" s="50">
        <v>0</v>
      </c>
      <c r="E31" s="49"/>
      <c r="F31" s="49"/>
      <c r="G31" s="49"/>
      <c r="H31" s="46"/>
      <c r="I31" s="46"/>
    </row>
    <row r="32" spans="1:9" ht="12" customHeight="1" x14ac:dyDescent="0.25">
      <c r="A32" s="49" t="s">
        <v>49</v>
      </c>
      <c r="B32" s="50">
        <v>0</v>
      </c>
      <c r="C32" s="50">
        <v>1</v>
      </c>
      <c r="D32" s="50">
        <v>1</v>
      </c>
      <c r="E32" s="49"/>
      <c r="F32" s="49"/>
      <c r="G32" s="49"/>
      <c r="H32" s="46"/>
      <c r="I32" s="46"/>
    </row>
    <row r="33" spans="1:9" ht="12" customHeight="1" x14ac:dyDescent="0.25">
      <c r="A33" s="49" t="s">
        <v>50</v>
      </c>
      <c r="B33" s="50">
        <v>0</v>
      </c>
      <c r="C33" s="50">
        <v>1</v>
      </c>
      <c r="D33" s="50">
        <v>1</v>
      </c>
      <c r="E33" s="49"/>
      <c r="F33" s="49"/>
      <c r="G33" s="49"/>
      <c r="H33" s="46"/>
      <c r="I33" s="46"/>
    </row>
    <row r="34" spans="1:9" ht="12" customHeight="1" x14ac:dyDescent="0.25">
      <c r="A34" s="49" t="s">
        <v>51</v>
      </c>
      <c r="B34" s="50">
        <v>0</v>
      </c>
      <c r="C34" s="50">
        <v>1</v>
      </c>
      <c r="D34" s="50">
        <v>1</v>
      </c>
      <c r="E34" s="49"/>
      <c r="F34" s="49"/>
      <c r="G34" s="49"/>
      <c r="H34" s="46"/>
      <c r="I34" s="46"/>
    </row>
    <row r="35" spans="1:9" ht="12" customHeight="1" x14ac:dyDescent="0.25">
      <c r="A35" s="49" t="s">
        <v>52</v>
      </c>
      <c r="B35" s="50">
        <v>0</v>
      </c>
      <c r="C35" s="50">
        <v>1</v>
      </c>
      <c r="D35" s="50">
        <v>0</v>
      </c>
      <c r="E35" s="49"/>
      <c r="F35" s="49"/>
      <c r="G35" s="49"/>
      <c r="H35" s="46"/>
      <c r="I35" s="46"/>
    </row>
    <row r="36" spans="1:9" ht="12" customHeight="1" x14ac:dyDescent="0.25">
      <c r="A36" s="49" t="s">
        <v>62</v>
      </c>
      <c r="B36" s="50">
        <v>0</v>
      </c>
      <c r="C36" s="50">
        <v>0</v>
      </c>
      <c r="D36" s="50">
        <v>1</v>
      </c>
      <c r="E36" s="49"/>
      <c r="F36" s="49"/>
      <c r="G36" s="49"/>
      <c r="H36" s="46"/>
      <c r="I36" s="46"/>
    </row>
    <row r="37" spans="1:9" ht="12" customHeight="1" x14ac:dyDescent="0.25">
      <c r="A37" s="51" t="s">
        <v>69</v>
      </c>
      <c r="B37" s="50">
        <v>0</v>
      </c>
      <c r="C37" s="50">
        <v>0</v>
      </c>
      <c r="D37" s="50">
        <v>0</v>
      </c>
      <c r="E37" s="49"/>
      <c r="F37" s="49"/>
      <c r="G37" s="49"/>
      <c r="H37" s="46"/>
      <c r="I37" s="46"/>
    </row>
    <row r="38" spans="1:9" ht="12" customHeight="1" x14ac:dyDescent="0.25">
      <c r="A38" s="51" t="s">
        <v>72</v>
      </c>
      <c r="B38" s="50">
        <v>0</v>
      </c>
      <c r="C38" s="50">
        <v>0</v>
      </c>
      <c r="D38" s="50">
        <v>0</v>
      </c>
      <c r="E38" s="49"/>
      <c r="F38" s="49"/>
      <c r="G38" s="49"/>
      <c r="H38" s="46"/>
      <c r="I38" s="46"/>
    </row>
    <row r="39" spans="1:9" ht="12" customHeight="1" x14ac:dyDescent="0.25">
      <c r="A39" s="51" t="s">
        <v>73</v>
      </c>
      <c r="B39" s="50">
        <v>0</v>
      </c>
      <c r="C39" s="50">
        <v>0</v>
      </c>
      <c r="D39" s="50">
        <v>0</v>
      </c>
      <c r="E39" s="49"/>
      <c r="F39" s="49"/>
      <c r="G39" s="49"/>
      <c r="H39" s="46"/>
      <c r="I39" s="46"/>
    </row>
    <row r="40" spans="1:9" ht="12" customHeight="1" x14ac:dyDescent="0.25">
      <c r="A40" s="51" t="s">
        <v>77</v>
      </c>
      <c r="B40" s="50">
        <v>0</v>
      </c>
      <c r="C40" s="50">
        <v>0</v>
      </c>
      <c r="D40" s="50">
        <v>0</v>
      </c>
      <c r="E40" s="49"/>
      <c r="F40" s="49"/>
      <c r="G40" s="49"/>
      <c r="H40" s="46"/>
      <c r="I40" s="46"/>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I9"/>
  <sheetViews>
    <sheetView workbookViewId="0">
      <selection activeCell="E37" sqref="E37"/>
    </sheetView>
  </sheetViews>
  <sheetFormatPr baseColWidth="10" defaultRowHeight="15" x14ac:dyDescent="0.25"/>
  <cols>
    <col min="1" max="1" width="9.7109375" customWidth="1"/>
    <col min="2" max="8" width="4.7109375" customWidth="1"/>
  </cols>
  <sheetData>
    <row r="1" spans="1:9" ht="19.5" customHeight="1" x14ac:dyDescent="0.25">
      <c r="A1" s="67" t="s">
        <v>80</v>
      </c>
      <c r="B1" s="67"/>
      <c r="C1" s="67"/>
      <c r="D1" s="67"/>
      <c r="E1" s="67"/>
      <c r="F1" s="67"/>
      <c r="G1" s="67"/>
    </row>
    <row r="2" spans="1:9" x14ac:dyDescent="0.25">
      <c r="A2" s="17" t="s">
        <v>78</v>
      </c>
      <c r="B2" s="18" t="s">
        <v>84</v>
      </c>
      <c r="C2" s="18" t="s">
        <v>54</v>
      </c>
      <c r="D2" s="18" t="s">
        <v>82</v>
      </c>
      <c r="E2" s="18" t="s">
        <v>81</v>
      </c>
      <c r="F2" s="18" t="s">
        <v>83</v>
      </c>
      <c r="G2" s="18" t="s">
        <v>79</v>
      </c>
      <c r="H2" s="15"/>
      <c r="I2" s="16"/>
    </row>
    <row r="3" spans="1:9" x14ac:dyDescent="0.25">
      <c r="A3" s="19">
        <v>1</v>
      </c>
      <c r="B3" s="20">
        <v>95</v>
      </c>
      <c r="C3" s="20">
        <v>90</v>
      </c>
      <c r="D3" s="20">
        <v>90</v>
      </c>
      <c r="E3" s="20">
        <v>90</v>
      </c>
      <c r="F3" s="20">
        <v>95</v>
      </c>
      <c r="G3" s="20">
        <f>SUM(B3*0.3,C3*0.3,D3*0.1,E3*0.1,F3*0.2)</f>
        <v>92.5</v>
      </c>
    </row>
    <row r="4" spans="1:9" x14ac:dyDescent="0.25">
      <c r="A4" s="19">
        <v>2</v>
      </c>
      <c r="B4" s="20"/>
      <c r="C4" s="20"/>
      <c r="D4" s="20"/>
      <c r="E4" s="20"/>
      <c r="F4" s="20"/>
      <c r="G4" s="20">
        <f t="shared" ref="G4:G9" si="0">SUM(B4*0.3,C4*0.3,D4*0.1,E4*0.1,F4*0.2)</f>
        <v>0</v>
      </c>
    </row>
    <row r="5" spans="1:9" x14ac:dyDescent="0.25">
      <c r="A5" s="19">
        <v>3</v>
      </c>
      <c r="B5" s="20"/>
      <c r="C5" s="20"/>
      <c r="D5" s="20"/>
      <c r="E5" s="20"/>
      <c r="F5" s="20"/>
      <c r="G5" s="20">
        <f t="shared" si="0"/>
        <v>0</v>
      </c>
    </row>
    <row r="6" spans="1:9" x14ac:dyDescent="0.25">
      <c r="A6" s="19">
        <v>4</v>
      </c>
      <c r="B6" s="20"/>
      <c r="C6" s="20"/>
      <c r="D6" s="20"/>
      <c r="E6" s="20"/>
      <c r="F6" s="20"/>
      <c r="G6" s="20">
        <f t="shared" si="0"/>
        <v>0</v>
      </c>
    </row>
    <row r="7" spans="1:9" x14ac:dyDescent="0.25">
      <c r="A7" s="19">
        <v>5</v>
      </c>
      <c r="B7" s="20"/>
      <c r="C7" s="20"/>
      <c r="D7" s="20"/>
      <c r="E7" s="20"/>
      <c r="F7" s="20"/>
      <c r="G7" s="20">
        <f t="shared" si="0"/>
        <v>0</v>
      </c>
    </row>
    <row r="8" spans="1:9" x14ac:dyDescent="0.25">
      <c r="A8" s="19">
        <v>6</v>
      </c>
      <c r="B8" s="20"/>
      <c r="C8" s="20"/>
      <c r="D8" s="20"/>
      <c r="E8" s="20"/>
      <c r="F8" s="20"/>
      <c r="G8" s="20">
        <f t="shared" si="0"/>
        <v>0</v>
      </c>
    </row>
    <row r="9" spans="1:9" x14ac:dyDescent="0.25">
      <c r="A9" s="19">
        <v>7</v>
      </c>
      <c r="B9" s="20">
        <v>85</v>
      </c>
      <c r="C9" s="20">
        <v>90</v>
      </c>
      <c r="D9" s="20">
        <v>90</v>
      </c>
      <c r="E9" s="20">
        <v>90</v>
      </c>
      <c r="F9" s="20">
        <v>90</v>
      </c>
      <c r="G9" s="20">
        <f t="shared" si="0"/>
        <v>88.5</v>
      </c>
    </row>
  </sheetData>
  <mergeCells count="1">
    <mergeCell ref="A1:G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Principal</vt:lpstr>
      <vt:lpstr>P1</vt:lpstr>
      <vt:lpstr>Tareas-notas</vt:lpstr>
      <vt:lpstr>Asistencia</vt:lpstr>
      <vt:lpstr>Proyectos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dc:creator>
  <cp:lastModifiedBy>adminIS</cp:lastModifiedBy>
  <cp:lastPrinted>2017-01-25T17:56:46Z</cp:lastPrinted>
  <dcterms:created xsi:type="dcterms:W3CDTF">2017-01-25T01:36:19Z</dcterms:created>
  <dcterms:modified xsi:type="dcterms:W3CDTF">2017-03-12T15:43:31Z</dcterms:modified>
</cp:coreProperties>
</file>